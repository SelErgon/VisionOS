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commentsmeta2"/>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Control de asignaciones" sheetId="1" r:id="rId5"/>
    <sheet state="visible" name="Recursos Humanos" sheetId="2" r:id="rId6"/>
    <sheet state="visible" name="Resumen" sheetId="3" r:id="rId7"/>
    <sheet state="visible" name="Especificaciones para equipos" sheetId="4" r:id="rId8"/>
    <sheet state="visible" name="ANEXO EQUIPO" sheetId="5" r:id="rId9"/>
    <sheet state="hidden" name="categorias" sheetId="6" r:id="rId10"/>
  </sheets>
  <definedNames>
    <definedName name="corto">'Especificaciones para equipos'!$B$2:$B$8</definedName>
    <definedName localSheetId="2" name="Print_Area_0">Resumen!$A$1:$J$104</definedName>
    <definedName name="computo">'Especificaciones para equipos'!$B$1:$C$8</definedName>
    <definedName name="descriptivo">'Especificaciones para equipos'!$C$2:$C$10</definedName>
    <definedName name="avaladora">#REF!</definedName>
    <definedName name="nombres">#REF!</definedName>
    <definedName name="coordinadores">'Recursos Humanos'!$T$5:$V$16</definedName>
    <definedName name="base">#REF!</definedName>
    <definedName name="programas">'Recursos Humanos'!$T$6:$T$16</definedName>
    <definedName name="base1">#REF!</definedName>
    <definedName name="nombre">#REF!</definedName>
    <definedName name="propuestas">#REF!</definedName>
    <definedName name="convocatoria">'Recursos Humanos'!$S$8:$S$9</definedName>
    <definedName localSheetId="2" name="Print_Area_0_0">Resumen!$A$1:$J$104</definedName>
    <definedName name="CATEGORIA">categorias!$A$2:$B$15</definedName>
    <definedName name="puestos">categorias!$A$1:$F$15</definedName>
    <definedName name="convocatoria1">'Recursos Humanos'!$S$7:$S$8</definedName>
    <definedName name="completa">#REF!</definedName>
    <definedName name="reglones">categorias!$G$1:$G$9</definedName>
  </definedNames>
  <calcPr/>
  <extLst>
    <ext uri="GoogleSheetsCustomDataVersion2">
      <go:sheetsCustomData xmlns:go="http://customooxmlschemas.google.com/" r:id="rId11" roundtripDataChecksum="tY3AK/+xx1qx+xyqD1PFgF6qCPUau4zGCWpheqO8V38="/>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4">
      <text>
        <t xml:space="preserve">======
ID#AAABilCXQxY
Informatica    (2025-04-29 01:37:24)
30% del monto
solicitado</t>
      </text>
    </comment>
    <comment authorId="0" ref="F5">
      <text>
        <t xml:space="preserve">======
ID#AAABilCXQxc
Informatica    (2025-04-29 01:37:24)
Sumatoria de los datos ingresados en la hoja "Aporte de unidad Avaladora".</t>
      </text>
    </comment>
    <comment authorId="0" ref="F6">
      <text>
        <t xml:space="preserve">======
ID#AAABilCXQxM
Informatica    (2025-04-29 01:37:24)
Diferencia de lo solicitado con lo ingresado, esta debe ser 0.</t>
      </text>
    </comment>
    <comment authorId="0" ref="A16">
      <text>
        <t xml:space="preserve">======
ID#AAABilCXQxE
Informatica    (2025-04-29 01:37:24)
Escribir número correlativo de plaza, de 1 en adelante</t>
      </text>
    </comment>
    <comment authorId="0" ref="E18">
      <text>
        <t xml:space="preserve">======
ID#AAABilCXQw8
Informatica    (2025-04-29 01:37:24)
Anotar la misma titularidad con la cuál está contratado en su unidad académica.
Si cuenta con maestría reconocida en la Usac le corresponde Titular III, si es Doctorado reconocido por la USAC es Titular V.
Las categorías de Auxiliar de investigación I y II deben ser estudiantes de la Usac.</t>
      </text>
    </comment>
    <comment authorId="0" ref="E16">
      <text>
        <t xml:space="preserve">======
ID#AAABilCXQw4
Informatica    (2025-04-29 01:37:24)
Anotar la misma titularidad con la cuál está contratado en su unidad académica.
Si cuenta con maestría reconocida en la Usac le corresponde Titular III, si es Doctorado reconocido por la USAC es Titular V.
Las categorías de Auxiliar de investigación I y II deben ser estudiantes de la Usac.</t>
      </text>
    </comment>
    <comment authorId="0" ref="E17">
      <text>
        <t xml:space="preserve">======
ID#AAABilCXQwg
Informatica    (2025-04-29 01:37:24)
Anotar la misma titularidad con la cuál está contratado en su unidad académica.
Si cuenta con maestría reconocida en la Usac le corresponde Titular III, si es Doctorado reconocido por la USAC es Titular V.
Las categorías de Auxiliar de investigación I y II deben ser estudiantes de la Usac.</t>
      </text>
    </comment>
  </commentList>
  <extLst>
    <ext uri="GoogleSheetsCustomDataVersion2">
      <go:sheetsCustomData xmlns:go="http://customooxmlschemas.google.com/" r:id="rId1" roundtripDataSignature="AMtx7mh+2a8fdf36jLfH+OVvDNvFiYO2Y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J16">
      <text>
        <t xml:space="preserve">======
ID#AAABilCXQwo
    (2025-04-29 01:37:24)
Escriba la fecha en formato: dd/mm/aa</t>
      </text>
    </comment>
    <comment authorId="0" ref="L16">
      <text>
        <t xml:space="preserve">======
ID#AAABilCXQwk
    (2025-04-29 01:37:24)
El número de meses lo puede variar, si fuera necesario.</t>
      </text>
    </comment>
  </commentList>
  <extLst>
    <ext uri="GoogleSheetsCustomDataVersion2">
      <go:sheetsCustomData xmlns:go="http://customooxmlschemas.google.com/" r:id="rId1" roundtripDataSignature="AMtx7mgEtaWuZJxYs5vW7f9NG7pvWi5hlQ=="/>
    </ext>
  </extLst>
</comments>
</file>

<file path=xl/comments3.xml><?xml version="1.0" encoding="utf-8"?>
<comments xmlns:r="http://schemas.openxmlformats.org/officeDocument/2006/relationships" xmlns="http://schemas.openxmlformats.org/spreadsheetml/2006/main" xmlns:xr="http://schemas.microsoft.com/office/spreadsheetml/2014/revision">
  <authors>
    <author/>
  </authors>
  <commentList>
    <comment authorId="0" ref="I4">
      <text>
        <t xml:space="preserve">======
ID#AAABilCXQxU
    (2025-04-29 01:37:24)
Escribir numero de proyecto</t>
      </text>
    </comment>
    <comment authorId="0" ref="H59">
      <text>
        <t xml:space="preserve">======
ID#AAABilCXQxQ
Escribir fechas así    (2025-04-29 01:37:24)
dd/mm/aa
Ejemplo: 01/03/2021</t>
      </text>
    </comment>
    <comment authorId="0" ref="H79">
      <text>
        <t xml:space="preserve">======
ID#AAABilCXQxI
Escribir fechas así    (2025-04-29 01:37:24)
dd/mm/aa</t>
      </text>
    </comment>
    <comment authorId="0" ref="H42">
      <text>
        <t xml:space="preserve">======
ID#AAABilCXQxA
    (2025-04-29 01:37:24)
Escriba el # del cuatrimestre asi: 1,2 o 3</t>
      </text>
    </comment>
    <comment authorId="0" ref="A42">
      <text>
        <t xml:space="preserve">======
ID#AAABilCXQw0
    (2025-04-29 01:37:24)
Escriba el número del renglón así: 322 ó 323, etc.</t>
      </text>
    </comment>
    <comment authorId="0" ref="H22">
      <text>
        <t xml:space="preserve">======
ID#AAABilCXQws
David Amilcar de Leon Orellana    (2025-04-29 01:37:24)
Escriba las fechas en el formato dd/mm/yy</t>
      </text>
    </comment>
  </commentList>
  <extLst>
    <ext uri="GoogleSheetsCustomDataVersion2">
      <go:sheetsCustomData xmlns:go="http://customooxmlschemas.google.com/" r:id="rId1" roundtripDataSignature="AMtx7mgn3c03MSJxboO3ly5EdkyHVjJnmg=="/>
    </ext>
  </extLst>
</comments>
</file>

<file path=xl/sharedStrings.xml><?xml version="1.0" encoding="utf-8"?>
<sst xmlns="http://schemas.openxmlformats.org/spreadsheetml/2006/main" count="362" uniqueCount="305">
  <si>
    <t>Instrucciones:</t>
  </si>
  <si>
    <t>En esta hoja debe ingresar los datos solicitados en las celdas de color verde claro únicamente, estos serán trasladados a las hojas adecuadas.</t>
  </si>
  <si>
    <t>Monto Solicitado a SENACYT</t>
  </si>
  <si>
    <t>Disponibilidad</t>
  </si>
  <si>
    <t>Máximo</t>
  </si>
  <si>
    <t>Asignado</t>
  </si>
  <si>
    <t>Restante</t>
  </si>
  <si>
    <t>Disponible para contratación de investigadores (50%)</t>
  </si>
  <si>
    <t>Disponible para contratación de estudiantes (30%)</t>
  </si>
  <si>
    <t>Disponible para insumos y equipo (20%)</t>
  </si>
  <si>
    <t>TOTALES</t>
  </si>
  <si>
    <t>Contrataciones</t>
  </si>
  <si>
    <t>En cada una de las filas debe ingresar los datos para el personal a contratar, estos serán trasladados a la hoja de recursos humanos para realizar los cálculos respectivos.</t>
  </si>
  <si>
    <t>Correlativo</t>
  </si>
  <si>
    <t>Registro de Personal</t>
  </si>
  <si>
    <t>Nombre del contratado</t>
  </si>
  <si>
    <t>Nombre del puesto</t>
  </si>
  <si>
    <t>Categoría</t>
  </si>
  <si>
    <t>¿Es estudiante?</t>
  </si>
  <si>
    <t>No. De horas</t>
  </si>
  <si>
    <t>Fecha de inicio</t>
  </si>
  <si>
    <t>Fecha de Fin</t>
  </si>
  <si>
    <t>Camila Torres</t>
  </si>
  <si>
    <t>Investigador</t>
  </si>
  <si>
    <t>Titular I</t>
  </si>
  <si>
    <t>NO</t>
  </si>
  <si>
    <t>Luis Martínez</t>
  </si>
  <si>
    <t>Titular II</t>
  </si>
  <si>
    <t>SI</t>
  </si>
  <si>
    <t>Ana Fernández</t>
  </si>
  <si>
    <t>Auxiliar de investigación I</t>
  </si>
  <si>
    <t>Titular III</t>
  </si>
  <si>
    <t>Javier Morales</t>
  </si>
  <si>
    <t>Auxiliar de investigación II</t>
  </si>
  <si>
    <t xml:space="preserve">Auxiliar II </t>
  </si>
  <si>
    <t>Paula González</t>
  </si>
  <si>
    <t>Diseñador</t>
  </si>
  <si>
    <t>Titular IV</t>
  </si>
  <si>
    <t>Sergio Ramírez</t>
  </si>
  <si>
    <t>Tester</t>
  </si>
  <si>
    <t>Mariana Castillo</t>
  </si>
  <si>
    <t>Coordinador de proyecto</t>
  </si>
  <si>
    <t>Titular X</t>
  </si>
  <si>
    <t>Programa</t>
  </si>
  <si>
    <t>coordinador</t>
  </si>
  <si>
    <t>en Alimentación y Nutrición</t>
  </si>
  <si>
    <t>Inga. Liuba María Cabrera</t>
  </si>
  <si>
    <t>TÍTULO DEL PROYECTO</t>
  </si>
  <si>
    <t>VisionOS: Monitoreo inteligente de microsueños y cuidados de la vision en jornadas laborales</t>
  </si>
  <si>
    <t>General</t>
  </si>
  <si>
    <t>en Asentamientos Humanos</t>
  </si>
  <si>
    <t>Dra. Sandra Herrera Ruiz</t>
  </si>
  <si>
    <t>NOMBRE DELCOORDINADOR</t>
  </si>
  <si>
    <t>Alan Pamal</t>
  </si>
  <si>
    <t>Interdisciplinario en Salud</t>
  </si>
  <si>
    <t>Diferenciada</t>
  </si>
  <si>
    <t>en Cultura, pensamiento e identidad de la sociedad guatemalteca</t>
  </si>
  <si>
    <t>UNIDAD AVALADORA</t>
  </si>
  <si>
    <t>Facultad de Ingeniería USAC</t>
  </si>
  <si>
    <t>en Desarrollo Industrial</t>
  </si>
  <si>
    <t>CONVOCATORIA A LA QUE APLICA</t>
  </si>
  <si>
    <t>en Educación</t>
  </si>
  <si>
    <t>Lic. Roberto Barrios Castillo</t>
  </si>
  <si>
    <t>TIPO DE INVESTIGACIÓN</t>
  </si>
  <si>
    <t>Desarrollo Experimental</t>
  </si>
  <si>
    <t>en Estudios para la Paz</t>
  </si>
  <si>
    <t>AREA DEL CONOCIMIENTO</t>
  </si>
  <si>
    <t>Salud</t>
  </si>
  <si>
    <t>en Estudios de Género</t>
  </si>
  <si>
    <t>Dra. Hilda Valencia de Abril</t>
  </si>
  <si>
    <t>en Historia de Guatemala</t>
  </si>
  <si>
    <t>en Recursos Naturales y Ambiente</t>
  </si>
  <si>
    <t>M.Sc. Andrea Eunice Rodas</t>
  </si>
  <si>
    <t>PLAZA No.</t>
  </si>
  <si>
    <t>REG</t>
  </si>
  <si>
    <t>CLASIFI CACION</t>
  </si>
  <si>
    <t>NOMBRE DEL PUESTO</t>
  </si>
  <si>
    <t>CATEGORIA</t>
  </si>
  <si>
    <t>ESCALA INTEG.</t>
  </si>
  <si>
    <t>HORAS</t>
  </si>
  <si>
    <t>INICIO</t>
  </si>
  <si>
    <t>FIN</t>
  </si>
  <si>
    <t>DURACION MESES</t>
  </si>
  <si>
    <t>BASE MENSUAL</t>
  </si>
  <si>
    <t>TOTAL</t>
  </si>
  <si>
    <t>en Ciencias Básicas</t>
  </si>
  <si>
    <t>Ing. Agr. Julio Rufino Salazar</t>
  </si>
  <si>
    <t>Auxiliar de Investigación I</t>
  </si>
  <si>
    <t>Auxiliar de Investigación II</t>
  </si>
  <si>
    <t>Titular V</t>
  </si>
  <si>
    <t>FACTOR DE TIEMPO PROGRAMADO</t>
  </si>
  <si>
    <t>PRESUPUESTO RESTANTE</t>
  </si>
  <si>
    <t>TOTAL PRESTACIONES</t>
  </si>
  <si>
    <t>TOTAL PROGRAMADO</t>
  </si>
  <si>
    <t>f)</t>
  </si>
  <si>
    <t>Verónica Colchín Palencia</t>
  </si>
  <si>
    <t>Coordinador del Proyecto de Investigación</t>
  </si>
  <si>
    <t>Coordinador de Programa de Investigación</t>
  </si>
  <si>
    <t>Tesorera del Fondo de Investigación</t>
  </si>
  <si>
    <t xml:space="preserve">ANTEPROYECTO DE PRESUPUESTO </t>
  </si>
  <si>
    <t>PROGRAMACION DE RECURSOS POR SUBPROGRAMA DE ACUERDO AL PLAN DE TRABAJO</t>
  </si>
  <si>
    <t>ÁREA DEL CONOCIMIENTO</t>
  </si>
  <si>
    <t>Monto solicitado</t>
  </si>
  <si>
    <t>Total de programación</t>
  </si>
  <si>
    <t>sumatoria renglón 1, 2 y 3</t>
  </si>
  <si>
    <t>PDA. PRESUP.</t>
  </si>
  <si>
    <t>DESCRIPCION DE LA PARTIDA</t>
  </si>
  <si>
    <t>VALOR Q.</t>
  </si>
  <si>
    <t>GRUPO DE GASTOS</t>
  </si>
  <si>
    <t>TOTAL SUB-PROGRAMA</t>
  </si>
  <si>
    <t>TOTAL DEL PROYECTO</t>
  </si>
  <si>
    <t>4.8.63.5.  .0.00</t>
  </si>
  <si>
    <t>SERVICIOS PERSONALES</t>
  </si>
  <si>
    <t>4.8.63.5.  .0.22</t>
  </si>
  <si>
    <t>PERSONAL POR CONTRATO</t>
  </si>
  <si>
    <t>4.8.63.5.  .0.31</t>
  </si>
  <si>
    <t>JORNALES</t>
  </si>
  <si>
    <t>4.8.63.5.  .0.71</t>
  </si>
  <si>
    <t>AGUINALDO</t>
  </si>
  <si>
    <t>4.8.63.5.  .0.72</t>
  </si>
  <si>
    <t>BONO</t>
  </si>
  <si>
    <t>4.8.63.5.  .0.75</t>
  </si>
  <si>
    <t xml:space="preserve">DIFERIDO </t>
  </si>
  <si>
    <t>4.8.63.5.  .0.76</t>
  </si>
  <si>
    <t>BONO MENSUAL</t>
  </si>
  <si>
    <t>4.8.63.5.  .0.55</t>
  </si>
  <si>
    <t>APORTE PLAN DE PRESTACIONES</t>
  </si>
  <si>
    <t>4.8.63.5.  .1.00</t>
  </si>
  <si>
    <t>SERVICIOS NO PERSONALES</t>
  </si>
  <si>
    <t>4.8.63.5.  .114</t>
  </si>
  <si>
    <t>4.8.63.5.  .115</t>
  </si>
  <si>
    <t>4.8.63.5.  .116</t>
  </si>
  <si>
    <t>4.8.63.5.  .121</t>
  </si>
  <si>
    <t>4.8.63.5.  .122</t>
  </si>
  <si>
    <t>4.8.63.5.  .131</t>
  </si>
  <si>
    <t>4.8.63.5.  .133</t>
  </si>
  <si>
    <t>4.8.63.5.  .141</t>
  </si>
  <si>
    <t>4.8.63.5.  .142</t>
  </si>
  <si>
    <t>4.8.63.5.  .158</t>
  </si>
  <si>
    <t>4.8.63.5.  .161</t>
  </si>
  <si>
    <t>4.8.63.5.  .162</t>
  </si>
  <si>
    <t>4.8.63.5.  .163</t>
  </si>
  <si>
    <t>4.8.63.5.  .165</t>
  </si>
  <si>
    <t>4.8.63.5.  .166</t>
  </si>
  <si>
    <t>4.8.63.5.  .168</t>
  </si>
  <si>
    <t>4.8.63.5.  .169</t>
  </si>
  <si>
    <t>4.8.63.5.  .181</t>
  </si>
  <si>
    <t>4.8.63.5.  .182</t>
  </si>
  <si>
    <t>4.8.63.5.  .184</t>
  </si>
  <si>
    <t>4.8.63.5.  .185</t>
  </si>
  <si>
    <t>4.8.63.5.  .186</t>
  </si>
  <si>
    <t>4.8.63.5.  .187</t>
  </si>
  <si>
    <t>4.8.63.5.  .188</t>
  </si>
  <si>
    <t>4.8.63.5.  .189</t>
  </si>
  <si>
    <t>4.8.63.5.  .196</t>
  </si>
  <si>
    <t>4.8.63.5.  .2.00</t>
  </si>
  <si>
    <t>MATERIALES Y SUMINISTROS</t>
  </si>
  <si>
    <t>4.8.63.5.  .211</t>
  </si>
  <si>
    <t>4.8.63.5.  .212</t>
  </si>
  <si>
    <t>4.8.63.5.  .213</t>
  </si>
  <si>
    <t>4.8.63.5.  .214</t>
  </si>
  <si>
    <t>4.8.63.5.  .215</t>
  </si>
  <si>
    <t>4.8.63.5.  .219</t>
  </si>
  <si>
    <t>4.8.63.5.  .223</t>
  </si>
  <si>
    <t>4.8.63.5.  .224</t>
  </si>
  <si>
    <t>4.8.63.5.  .229</t>
  </si>
  <si>
    <t>4.8.63.5.  .231</t>
  </si>
  <si>
    <t>4.8.63.5.  .232</t>
  </si>
  <si>
    <t>4.8.63.5.  .233</t>
  </si>
  <si>
    <t>4.8.63.5.  .241</t>
  </si>
  <si>
    <t>4.8.63.5.  .242</t>
  </si>
  <si>
    <t>4.8.63.5.  .243</t>
  </si>
  <si>
    <t>4.8.63.5.  .244</t>
  </si>
  <si>
    <t>4.8.63.5.  .245</t>
  </si>
  <si>
    <t>4.8.63.5.  .249</t>
  </si>
  <si>
    <t>4.8.63.5.  .252</t>
  </si>
  <si>
    <t>4.8.63.5.  .253</t>
  </si>
  <si>
    <t>4.8.63.5.  .254</t>
  </si>
  <si>
    <t>4.8.63.5.  .261</t>
  </si>
  <si>
    <t>4.8.63.5.  .262</t>
  </si>
  <si>
    <t>4.8.63.5.  .263</t>
  </si>
  <si>
    <t>4.8.63.5.  .264</t>
  </si>
  <si>
    <t>4.8.63.5.  .266</t>
  </si>
  <si>
    <t>4.8.63.5.  .267</t>
  </si>
  <si>
    <t>4.8.63.5.  .268</t>
  </si>
  <si>
    <t>4.8.63.5.  .269</t>
  </si>
  <si>
    <t>4.8.63.5.  .271</t>
  </si>
  <si>
    <t>4.8.63.5.  .272</t>
  </si>
  <si>
    <t>4.8.63.5.  .273</t>
  </si>
  <si>
    <t>4.8.63.5.  .274</t>
  </si>
  <si>
    <t>4.8.63.5.  .275</t>
  </si>
  <si>
    <t>4.8.63.5.  .279</t>
  </si>
  <si>
    <t>4.8.63.5.  .282</t>
  </si>
  <si>
    <t>4.8.63.5.  .283</t>
  </si>
  <si>
    <t>4.8.63.5.  .284</t>
  </si>
  <si>
    <t>4.8.63.5.  .286</t>
  </si>
  <si>
    <t>4.8.63.5.  .289</t>
  </si>
  <si>
    <t>4.8.63.5.  .291</t>
  </si>
  <si>
    <t>4.8.63.5.  .292</t>
  </si>
  <si>
    <t>4.8.63.5.  .293</t>
  </si>
  <si>
    <t>4.8.63.5.  .294</t>
  </si>
  <si>
    <t>4.8.63.5.  .295</t>
  </si>
  <si>
    <t>4.8.63.5.  .297</t>
  </si>
  <si>
    <t>4.8.63.5.  .298</t>
  </si>
  <si>
    <t>4.8.63.5.  .299</t>
  </si>
  <si>
    <t>4.8.63.5.    .3.00</t>
  </si>
  <si>
    <t>MOBILIARIO Y EQUIPO</t>
  </si>
  <si>
    <t>4.8.63.5.    .3.21</t>
  </si>
  <si>
    <t>4.8.63.5.   322</t>
  </si>
  <si>
    <t>4.8.63.5.    .3.23</t>
  </si>
  <si>
    <t>4.8.63.5.    .3.24</t>
  </si>
  <si>
    <t>4.8.63.5.    .3.26</t>
  </si>
  <si>
    <t>4.8.63.5.    .3.28</t>
  </si>
  <si>
    <t>4.8.63.5.    .3.29</t>
  </si>
  <si>
    <t>Corto</t>
  </si>
  <si>
    <t>Descriptivo</t>
  </si>
  <si>
    <t>Computadora de escritorio secretarial</t>
  </si>
  <si>
    <t>Computadora de escritorio de marca de reconocido prestigio internacional, con un (1) año de garantía en sitio, con las siguientes especificaciones técnicas mínimas:
Procesador de cuatro (4) núcleos y cuatro (4) subprocesos (hilos) con velocidad de frecuencia base 2.70 GHz y 6MB de Caché.
Memoria instalada: 4GB DDR4.
Capacidad de almacenamiento interno: 500GB.
Mouse óptico con scroll.
Teclado en español con distribución de teclas latinoamericano.
Puerto de video integrado.
Puerto de audio integrado.
Puerto de red integrado Ethernet 100/1000 Mbps.
Seis (6) puertos de USB.
Pantalla de diecisiete (17) pulgadas en diagonal con adaptador igual al del puerto de video integrado.</t>
  </si>
  <si>
    <t>Computadora de escritorio para diseño</t>
  </si>
  <si>
    <t>Computadora de escritorio para diseño de marca con reconocido prestigio internacional, con un (1) año de garantía en sitio, con las siguientes especificaciones técnicas mínimas
Procesador de cuatro (4) núcleos y ocho (8) subprocesos (hilos) con velocidad de frecuencia base 2.90 GHz y 8MB de Caché.
Memoria instalada: 16GB DDR4.
Capacidad de almacenamiento interno: 1TB.
Unidad óptica: DVD±R/RW.
Mouse óptico con scroll.
Teclado en español con distribución latinoamericana.
Puerto de video integrado con memoria dedicada de 2GB.
Puerto de audio integrado.
Puerto de red Ethernet 100/1000 Mbps.
Ocho (8) puertos de USB.
Pantalla de diecisiete (17) pulgadas en diagonal con adaptador igual al del puerto de video integrado.</t>
  </si>
  <si>
    <t>Computadora portátil de gama media</t>
  </si>
  <si>
    <t>Computadora portátil de marca con reconocido prestigio internacional, con un (1) año de garantía en sitio, con las siguientes especificaciones técnicas mínimas:
Procesador de cuatro (4) núcleos y ocho (8) subprocesos (hilos) con velocidad de frecuencia base 1.60 GHz y 6MB de Caché.
Memoria instalada: 4GB DDR4.
Capacidad de almacenamiento interno: 500GB.
Touchpad de 2 botones con scroll.
Teclado en español con distribución latinoamericana.
Puerto de video integrado.
Puerto de audio integrado.
Puerto de red ethernet 100/1000 Mbps.
Tarjeta de red inalámbrica 802.11 b/g/n/ac.
Tres (3) puertos de USB.
Pantalla de 14 pulgadas en diagonal.</t>
  </si>
  <si>
    <t>Tablet</t>
  </si>
  <si>
    <t>Tablet de marca de reconocido prestigio internacional, con un año de garantía en sitio y las siguietes especificaciones: Procesador de ocho (8) núcleos con velocidad de frecuencia 1.6 GHz.Memoria RAM instalada: 2 GB.Memoria interna de almacenamiento: 32 GB.Pantalla táctil de 10” pulgadas en diagonal.Conectividad WI-Fi 802.11 b/g/n/ac 2.4+5GHzBluetoothAudífono (earjack) 3.5mm estéreo.Capacidad para instalación de memoria MicroSD.Cámara frontal 5 MPCámara trasera 8 MPSistema operativo móvil de código abierto o propietario.</t>
  </si>
  <si>
    <t>Disco duro externo</t>
  </si>
  <si>
    <t>Unidad de almacenamiento portátil de marca con reconocido prestigio internacional, con un (1) año de garantía en sitio, con las siguientes especificaciones técnicas mínimas: Capacidad de almacenamiento: 1TB. Interfaz de conexión: Puerto USB</t>
  </si>
  <si>
    <t>Impresora de inyección de tinta</t>
  </si>
  <si>
    <t>Impresora de inyección de tinta de marca con reconocido prestigio internacional, con un (1) año de garantía en sitio, con las siguientes especificaciones técnicas mínimas:
Impresión a color.Resolución: 600 x 600 ppp (punto por pulgada).
Compatibilidad con sistema operativo: (en este espacio escriba la versión del sistema operativo según el numeral 3 de consideraciones específicas).
Interfaz de conexión: Puerto USB.
Cable de conexión USB incluido.
Disco de instalación.</t>
  </si>
  <si>
    <t>Impresora laser negro</t>
  </si>
  <si>
    <t>Impresora láser monocromática de marca con reconocido prestigio internacional, con un (1) año de garantía en sitio, con las especificaciones técnicas mínimas:
Impresión monocromática láser.
Resolución: 600 x 600 ppp (punto por pulgada).
Compatibilidad con sistema operativo: (en este espacio escriba la versión del sistema operativo según el numeral 2 de consideraciones específicas).
Interfaz de conexión: Puerto USB.
Cable de conexión USB incluido.
Disco de instalación.</t>
  </si>
  <si>
    <t>Proyector multimedia</t>
  </si>
  <si>
    <t>Proyector multimedia de marca con reconocido prestigio internacional, con un (1) año de garantía en sitio, con las siguientes especificaciones técnicas mínimas:
 Brillo: 3300 ANSI Lúmenes.
 Resolución: XGA (1024 x 768 píxel).
 Compatibilidad con video: NTSC, PAL, SECAM.
 Entradas de video: HDMI, VGA (D-Sub 15 pin), video compuesto RCA.
 Entrada de audio disponible.
 Idioma del menú: Español.
 Un (1) control remoto.
 Un (1) cable de conexión HDMI incluido.</t>
  </si>
  <si>
    <t>Ups para computadora</t>
  </si>
  <si>
    <t>Sistema de Alimentación Ininterrumpida (UPS) de escritorio de marca con reconocido prestigio internacional, con un (1) año de garantía en sitio, con las siguientes especificaciones técnicas mínimas:
Capacidad de administración de potencia 750VA/375W.
Tensión nominal de salida soportada 120V.
Regulación automática de voltaje.
Conector de entrada tipo Nema 5-15P.
Seis (6) tomacorrientes con salida tipo Nema 5-15R.</t>
  </si>
  <si>
    <t>Especificaciones para otros equipos</t>
  </si>
  <si>
    <t>www.usac.edu.gt/solicitud</t>
  </si>
  <si>
    <t>apoyoinformatica@digi.usac.edu.gt</t>
  </si>
  <si>
    <t>UNIVERSIDAD DE SAN CARLOS DE GUATEMALA</t>
  </si>
  <si>
    <t>DIRECCIÓN GENERAL FINANCIERA</t>
  </si>
  <si>
    <t>DEPARTAMENTO DE PRESUPUESTO</t>
  </si>
  <si>
    <t xml:space="preserve">NUMERO DEL PROYECTO </t>
  </si>
  <si>
    <t>ANTEPROYECTO DE PRESUPUESTO 2021</t>
  </si>
  <si>
    <t>PROGRAMACIÓN DE RECURSOS POR SUBPROGRAMA DE ACUERDO AL PLAN DE TRABAJO</t>
  </si>
  <si>
    <t>NOMBRE DEL PROGRAMA</t>
  </si>
  <si>
    <t xml:space="preserve">PROGRAMA UNIVERSITARIO DE INVESTIGACION EN </t>
  </si>
  <si>
    <t>NOMBRE DEL PROYECTO</t>
  </si>
  <si>
    <t xml:space="preserve">MONTO SOLICITADO </t>
  </si>
  <si>
    <t>PROGRAMACION DEL RENGLON 951 "CREDITOS POR APLICAR"</t>
  </si>
  <si>
    <t>CUYO TRAMITE ANTE LA DIVISION DE ADMINISTRACION DE PERSONAL NO ESTA CONCLUIDO</t>
  </si>
  <si>
    <t>A) PUESTOS NUEVOS</t>
  </si>
  <si>
    <t>011 ó</t>
  </si>
  <si>
    <t>CLASIFI-</t>
  </si>
  <si>
    <t>HORAS DIA</t>
  </si>
  <si>
    <t>VIGENCIA MESES</t>
  </si>
  <si>
    <t>SUELDO</t>
  </si>
  <si>
    <t>022</t>
  </si>
  <si>
    <t>PUESTO</t>
  </si>
  <si>
    <t>CACION</t>
  </si>
  <si>
    <t>ESCALA</t>
  </si>
  <si>
    <t>DE</t>
  </si>
  <si>
    <t>A</t>
  </si>
  <si>
    <t>CANTMESES</t>
  </si>
  <si>
    <t>MENSUAL</t>
  </si>
  <si>
    <t>ANUAL</t>
  </si>
  <si>
    <t>B) MODIFICACION EN EL NUMERO DE HORAS APROBADAS</t>
  </si>
  <si>
    <t>PLAZA</t>
  </si>
  <si>
    <t>No.</t>
  </si>
  <si>
    <t>SUBTOTAL</t>
  </si>
  <si>
    <t>FACTOR HORAS*MESES</t>
  </si>
  <si>
    <t>PRESTACIONES</t>
  </si>
  <si>
    <t>TOTAL RENGLON 951</t>
  </si>
  <si>
    <t>PROGRAMACIÓN DEL GRUPO "3 PROPIEDAD, PLANTA, EQUIPO E INTANGIBLES"</t>
  </si>
  <si>
    <t>PRECIOS ESTIMADOS</t>
  </si>
  <si>
    <t>CANTIDAD</t>
  </si>
  <si>
    <t xml:space="preserve">DESCRIPCIÓN GENERAL </t>
  </si>
  <si>
    <t>CUATRIMESTRE</t>
  </si>
  <si>
    <t>UNIDAD</t>
  </si>
  <si>
    <t>TOTAL "GRUPO 3" POR SUBPROGRAMA</t>
  </si>
  <si>
    <t xml:space="preserve">PROGRAMACIÓN DEL RENGLÓN "031 JORNALES" </t>
  </si>
  <si>
    <t>(OBREROS, OPERARIOS Y PEONES CON SALARIO DIARIO)</t>
  </si>
  <si>
    <t>FECHA</t>
  </si>
  <si>
    <t>SALARIO</t>
  </si>
  <si>
    <t>CANT</t>
  </si>
  <si>
    <t>ACTIVIDAD EN QUE SE UTILIZAN</t>
  </si>
  <si>
    <t>DIARIO</t>
  </si>
  <si>
    <t>TOTAL "RENGLÓN 031" POR SUBPROGRAMA</t>
  </si>
  <si>
    <t>PROGRAMACIÓN DEL RENGLÓN "035 RETRIBUCIONES A DESTAJO"</t>
  </si>
  <si>
    <t>TAREAS</t>
  </si>
  <si>
    <t>DESCRIPCIÓN TAREAS</t>
  </si>
  <si>
    <t>TAREA</t>
  </si>
  <si>
    <t>TOTAL "RENGLÓN 035" POR SUBPROGRAMA</t>
  </si>
  <si>
    <t>nombre</t>
  </si>
  <si>
    <t>cat</t>
  </si>
  <si>
    <t>viatico</t>
  </si>
  <si>
    <t>Centro</t>
  </si>
  <si>
    <t>norte</t>
  </si>
  <si>
    <t>resto</t>
  </si>
  <si>
    <t>Auxiliar I</t>
  </si>
  <si>
    <t>Titular VI</t>
  </si>
  <si>
    <t>Titular VII</t>
  </si>
  <si>
    <t>Titular VIII</t>
  </si>
  <si>
    <t>Titular IX</t>
  </si>
  <si>
    <t>Titular XI</t>
  </si>
  <si>
    <t>Titular XII</t>
  </si>
  <si>
    <t>auxiliar</t>
  </si>
</sst>
</file>

<file path=xl/styles.xml><?xml version="1.0" encoding="utf-8"?>
<styleSheet xmlns="http://schemas.openxmlformats.org/spreadsheetml/2006/main" xmlns:x14ac="http://schemas.microsoft.com/office/spreadsheetml/2009/9/ac" xmlns:mc="http://schemas.openxmlformats.org/markup-compatibility/2006">
  <numFmts count="8">
    <numFmt numFmtId="164" formatCode="_-&quot;Q&quot;* #,##0.00_-;\-&quot;Q&quot;* #,##0.00_-;_-&quot;Q&quot;* &quot;-&quot;??_-;_-@"/>
    <numFmt numFmtId="165" formatCode="_-[$Q-100A]* #,##0.00_-;\-[$Q-100A]* #,##0.00_-;_-[$Q-100A]* &quot;-&quot;??_-;_-@"/>
    <numFmt numFmtId="166" formatCode="dd/mm/yy"/>
    <numFmt numFmtId="167" formatCode="* #,##0.00\ ;* \(#,##0.00\);* \-#\ ;@\ "/>
    <numFmt numFmtId="168" formatCode="0.000"/>
    <numFmt numFmtId="169" formatCode="0.0"/>
    <numFmt numFmtId="170" formatCode="_(* #,##0.00_);_(* \(#,##0.00\);_(* \-??_);_(@_)"/>
    <numFmt numFmtId="171" formatCode="d/m/yy"/>
  </numFmts>
  <fonts count="31">
    <font>
      <sz val="10.0"/>
      <color rgb="FF000000"/>
      <name val="Arial"/>
      <scheme val="minor"/>
    </font>
    <font>
      <b/>
      <sz val="12.0"/>
      <color theme="1"/>
      <name val="Arial"/>
    </font>
    <font>
      <color theme="1"/>
      <name val="Arial"/>
    </font>
    <font>
      <b/>
      <sz val="14.0"/>
      <color theme="1"/>
      <name val="Arial"/>
    </font>
    <font/>
    <font>
      <sz val="12.0"/>
      <color theme="1"/>
      <name val="Arial"/>
    </font>
    <font>
      <sz val="10.0"/>
      <color theme="1"/>
      <name val="Arial"/>
    </font>
    <font>
      <sz val="10.0"/>
      <color theme="0"/>
      <name val="Arial"/>
    </font>
    <font>
      <b/>
      <sz val="10.0"/>
      <color theme="1"/>
      <name val="Arial"/>
    </font>
    <font>
      <color theme="1"/>
      <name val="Arial"/>
      <scheme val="minor"/>
    </font>
    <font>
      <b/>
      <sz val="16.0"/>
      <color theme="1"/>
      <name val="Arial"/>
    </font>
    <font>
      <sz val="11.0"/>
      <color theme="1"/>
      <name val="Arial"/>
    </font>
    <font>
      <b/>
      <sz val="11.0"/>
      <color theme="1"/>
      <name val="Arial"/>
    </font>
    <font>
      <b/>
      <sz val="16.0"/>
      <color theme="1"/>
      <name val="Calibri"/>
    </font>
    <font>
      <u/>
      <sz val="10.0"/>
      <color theme="1"/>
      <name val="Arial"/>
    </font>
    <font>
      <u/>
      <sz val="10.0"/>
      <color theme="1"/>
      <name val="Arial"/>
    </font>
    <font>
      <sz val="11.0"/>
      <color theme="1"/>
      <name val="Calibri"/>
    </font>
    <font>
      <b/>
      <sz val="14.0"/>
      <color theme="0"/>
      <name val="Arial"/>
    </font>
    <font>
      <b/>
      <sz val="10.0"/>
      <color theme="0"/>
      <name val="Arial"/>
    </font>
    <font>
      <b/>
      <sz val="20.0"/>
      <color theme="1"/>
      <name val="Arial"/>
    </font>
    <font>
      <b/>
      <sz val="12.0"/>
      <color rgb="FFFF0000"/>
      <name val="Arial"/>
    </font>
    <font>
      <sz val="10.0"/>
      <color theme="1"/>
      <name val="Calibri"/>
    </font>
    <font>
      <sz val="16.0"/>
      <color theme="1"/>
      <name val="Arial"/>
    </font>
    <font>
      <sz val="16.0"/>
      <color theme="0"/>
      <name val="Arial"/>
    </font>
    <font>
      <b/>
      <sz val="13.0"/>
      <color theme="1"/>
      <name val="Arial"/>
    </font>
    <font>
      <sz val="13.0"/>
      <color theme="1"/>
      <name val="Arial"/>
    </font>
    <font>
      <sz val="9.0"/>
      <color theme="1"/>
      <name val="Arial"/>
    </font>
    <font>
      <u/>
      <sz val="10.0"/>
      <color theme="10"/>
      <name val="Arial"/>
    </font>
    <font>
      <b/>
      <u/>
      <sz val="12.0"/>
      <color theme="1"/>
      <name val="Arial"/>
    </font>
    <font>
      <b/>
      <sz val="9.0"/>
      <color theme="1"/>
      <name val="Arial"/>
    </font>
    <font>
      <sz val="8.0"/>
      <color theme="1"/>
      <name val="Arial"/>
    </font>
  </fonts>
  <fills count="13">
    <fill>
      <patternFill patternType="none"/>
    </fill>
    <fill>
      <patternFill patternType="lightGray"/>
    </fill>
    <fill>
      <patternFill patternType="solid">
        <fgColor rgb="FFD8D8D8"/>
        <bgColor rgb="FFD8D8D8"/>
      </patternFill>
    </fill>
    <fill>
      <patternFill patternType="solid">
        <fgColor rgb="FFC5E0B3"/>
        <bgColor rgb="FFC5E0B3"/>
      </patternFill>
    </fill>
    <fill>
      <patternFill patternType="solid">
        <fgColor theme="0"/>
        <bgColor theme="0"/>
      </patternFill>
    </fill>
    <fill>
      <patternFill patternType="solid">
        <fgColor rgb="FFE2EFD9"/>
        <bgColor rgb="FFE2EFD9"/>
      </patternFill>
    </fill>
    <fill>
      <patternFill patternType="solid">
        <fgColor rgb="FFBDD6EE"/>
        <bgColor rgb="FFBDD6EE"/>
      </patternFill>
    </fill>
    <fill>
      <patternFill patternType="solid">
        <fgColor rgb="FFD9EAD3"/>
        <bgColor rgb="FFD9EAD3"/>
      </patternFill>
    </fill>
    <fill>
      <patternFill patternType="solid">
        <fgColor rgb="FF99FF33"/>
        <bgColor rgb="FF99FF33"/>
      </patternFill>
    </fill>
    <fill>
      <patternFill patternType="solid">
        <fgColor rgb="FFCCFF00"/>
        <bgColor rgb="FFCCFF00"/>
      </patternFill>
    </fill>
    <fill>
      <patternFill patternType="solid">
        <fgColor rgb="FFFFFF99"/>
        <bgColor rgb="FFFFFF99"/>
      </patternFill>
    </fill>
    <fill>
      <patternFill patternType="solid">
        <fgColor rgb="FFB7DEE8"/>
        <bgColor rgb="FFB7DEE8"/>
      </patternFill>
    </fill>
    <fill>
      <patternFill patternType="solid">
        <fgColor rgb="FFFFFFFF"/>
        <bgColor rgb="FFFFFFFF"/>
      </patternFill>
    </fill>
  </fills>
  <borders count="42">
    <border/>
    <border>
      <left style="thin">
        <color rgb="FF000000"/>
      </left>
      <right/>
      <top style="thin">
        <color rgb="FF000000"/>
      </top>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left/>
      <right/>
      <top/>
      <bottom/>
    </border>
    <border>
      <left style="medium">
        <color rgb="FF000000"/>
      </left>
      <right style="thin">
        <color rgb="FF000000"/>
      </righ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top style="medium">
        <color rgb="FF000000"/>
      </top>
      <bottom style="thin">
        <color rgb="FF000000"/>
      </bottom>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rder>
    <border>
      <right style="medium">
        <color rgb="FF000000"/>
      </right>
    </border>
    <border>
      <left style="medium">
        <color rgb="FF000000"/>
      </left>
      <top style="thin">
        <color rgb="FF000000"/>
      </top>
      <bottom style="thin">
        <color rgb="FF000000"/>
      </bottom>
    </border>
    <border>
      <left style="thin">
        <color rgb="FF000000"/>
      </left>
      <right style="medium">
        <color rgb="FF000000"/>
      </right>
      <top/>
      <bottom/>
    </border>
    <border>
      <right style="thin">
        <color rgb="FF000000"/>
      </right>
    </border>
    <border>
      <left style="medium">
        <color rgb="FF000000"/>
      </left>
      <right style="thin">
        <color rgb="FF000000"/>
      </right>
      <top style="thin">
        <color rgb="FF000000"/>
      </top>
      <bottom style="thin">
        <color rgb="FF000000"/>
      </bottom>
    </border>
    <border>
      <left/>
      <right style="medium">
        <color rgb="FF000000"/>
      </right>
      <top/>
      <bottom/>
    </border>
    <border>
      <left style="thin">
        <color rgb="FF000000"/>
      </left>
      <right/>
      <top/>
      <bottom/>
    </border>
    <border>
      <left style="medium">
        <color rgb="FF000000"/>
      </left>
      <top style="thin">
        <color rgb="FF000000"/>
      </top>
    </border>
    <border>
      <left style="thin">
        <color rgb="FF000000"/>
      </left>
    </border>
    <border>
      <right style="thin">
        <color rgb="FF000000"/>
      </right>
      <top style="thin">
        <color rgb="FF000000"/>
      </top>
    </border>
    <border>
      <left style="thin">
        <color rgb="FF000000"/>
      </left>
      <right style="medium">
        <color rgb="FF000000"/>
      </right>
      <top style="thin">
        <color rgb="FF000000"/>
      </top>
      <bottom style="thin">
        <color rgb="FF000000"/>
      </bottom>
    </border>
    <border>
      <left style="medium">
        <color rgb="FF000000"/>
      </left>
      <top style="medium">
        <color rgb="FF000000"/>
      </top>
      <bottom style="medium">
        <color rgb="FF000000"/>
      </bottom>
    </border>
    <border>
      <left style="thin">
        <color rgb="FF000000"/>
      </left>
      <right style="medium">
        <color rgb="FF000000"/>
      </right>
      <top style="thin">
        <color rgb="FF000000"/>
      </top>
    </border>
    <border>
      <left style="medium">
        <color rgb="FF000000"/>
      </left>
      <bottom style="medium">
        <color rgb="FF000000"/>
      </bottom>
    </border>
    <border>
      <bottom style="medium">
        <color rgb="FF000000"/>
      </bottom>
    </border>
    <border>
      <left style="thin">
        <color rgb="FF000000"/>
      </left>
      <top style="thin">
        <color rgb="FF000000"/>
      </top>
      <bottom style="medium">
        <color rgb="FF000000"/>
      </bottom>
    </border>
    <border>
      <top style="thin">
        <color rgb="FF000000"/>
      </top>
      <bottom style="medium">
        <color rgb="FF000000"/>
      </bottom>
    </border>
    <border>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left style="medium">
        <color rgb="FF000000"/>
      </left>
      <right style="thin">
        <color rgb="FF000000"/>
      </right>
      <bottom style="thin">
        <color rgb="FF000000"/>
      </bottom>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right style="thin">
        <color rgb="FF000000"/>
      </right>
      <bottom style="thin">
        <color rgb="FF000000"/>
      </bottom>
    </border>
    <border>
      <left style="thin">
        <color rgb="FF000000"/>
      </left>
      <right style="medium">
        <color rgb="FF000000"/>
      </right>
    </border>
    <border>
      <left/>
      <top/>
      <bottom/>
    </border>
    <border>
      <top/>
      <bottom/>
    </border>
  </borders>
  <cellStyleXfs count="1">
    <xf borderId="0" fillId="0" fontId="0" numFmtId="0" applyAlignment="1" applyFont="1"/>
  </cellStyleXfs>
  <cellXfs count="204">
    <xf borderId="0" fillId="0" fontId="0" numFmtId="0" xfId="0" applyAlignment="1" applyFont="1">
      <alignment readingOrder="0" shrinkToFit="0" vertical="bottom" wrapText="0"/>
    </xf>
    <xf borderId="0" fillId="0" fontId="1" numFmtId="0" xfId="0" applyAlignment="1" applyFont="1">
      <alignment horizontal="center"/>
    </xf>
    <xf borderId="0" fillId="0" fontId="2" numFmtId="0" xfId="0" applyFont="1"/>
    <xf borderId="1" fillId="2" fontId="1" numFmtId="0" xfId="0" applyAlignment="1" applyBorder="1" applyFill="1" applyFont="1">
      <alignment horizontal="center" shrinkToFit="0" vertical="center" wrapText="1"/>
    </xf>
    <xf borderId="2" fillId="3" fontId="3" numFmtId="164" xfId="0" applyAlignment="1" applyBorder="1" applyFill="1" applyFont="1" applyNumberFormat="1">
      <alignment horizontal="center" vertical="center"/>
    </xf>
    <xf borderId="3" fillId="0" fontId="4" numFmtId="0" xfId="0" applyBorder="1" applyFont="1"/>
    <xf borderId="4" fillId="0" fontId="4" numFmtId="0" xfId="0" applyBorder="1" applyFont="1"/>
    <xf borderId="2" fillId="2" fontId="3" numFmtId="164" xfId="0" applyAlignment="1" applyBorder="1" applyFont="1" applyNumberFormat="1">
      <alignment horizontal="center" vertical="center"/>
    </xf>
    <xf borderId="2" fillId="0" fontId="1" numFmtId="0" xfId="0" applyAlignment="1" applyBorder="1" applyFont="1">
      <alignment horizontal="center" shrinkToFit="0" vertical="center" wrapText="1"/>
    </xf>
    <xf borderId="5" fillId="0" fontId="5" numFmtId="0" xfId="0" applyAlignment="1" applyBorder="1" applyFont="1">
      <alignment horizontal="center" shrinkToFit="0" vertical="center" wrapText="1"/>
    </xf>
    <xf borderId="2" fillId="4" fontId="3" numFmtId="164" xfId="0" applyAlignment="1" applyBorder="1" applyFill="1" applyFont="1" applyNumberFormat="1">
      <alignment horizontal="center" vertical="center"/>
    </xf>
    <xf borderId="5" fillId="2" fontId="1" numFmtId="0" xfId="0" applyAlignment="1" applyBorder="1" applyFont="1">
      <alignment horizontal="center" shrinkToFit="0" vertical="center" wrapText="1"/>
    </xf>
    <xf borderId="5" fillId="2" fontId="3" numFmtId="164" xfId="0" applyAlignment="1" applyBorder="1" applyFont="1" applyNumberFormat="1">
      <alignment horizontal="center" vertical="center"/>
    </xf>
    <xf borderId="0" fillId="0" fontId="1" numFmtId="0" xfId="0" applyAlignment="1" applyFont="1">
      <alignment shrinkToFit="0" vertical="center" wrapText="1"/>
    </xf>
    <xf borderId="0" fillId="0" fontId="3" numFmtId="164" xfId="0" applyFont="1" applyNumberFormat="1"/>
    <xf borderId="5" fillId="0" fontId="6" numFmtId="0" xfId="0" applyAlignment="1" applyBorder="1" applyFont="1">
      <alignment readingOrder="0" shrinkToFit="0" wrapText="1"/>
    </xf>
    <xf borderId="5" fillId="0" fontId="6" numFmtId="164" xfId="0" applyAlignment="1" applyBorder="1" applyFont="1" applyNumberFormat="1">
      <alignment vertical="center"/>
    </xf>
    <xf borderId="5" fillId="0" fontId="6" numFmtId="165" xfId="0" applyAlignment="1" applyBorder="1" applyFont="1" applyNumberFormat="1">
      <alignment vertical="center"/>
    </xf>
    <xf borderId="0" fillId="0" fontId="6" numFmtId="164" xfId="0" applyFont="1" applyNumberFormat="1"/>
    <xf borderId="5" fillId="0" fontId="6" numFmtId="0" xfId="0" applyAlignment="1" applyBorder="1" applyFont="1">
      <alignment shrinkToFit="0" vertical="center" wrapText="1"/>
    </xf>
    <xf borderId="0" fillId="0" fontId="7" numFmtId="164" xfId="0" applyAlignment="1" applyFont="1" applyNumberFormat="1">
      <alignment vertical="center"/>
    </xf>
    <xf borderId="0" fillId="0" fontId="6" numFmtId="0" xfId="0" applyAlignment="1" applyFont="1">
      <alignment vertical="center"/>
    </xf>
    <xf borderId="6" fillId="2" fontId="8" numFmtId="0" xfId="0" applyAlignment="1" applyBorder="1" applyFont="1">
      <alignment horizontal="center" vertical="center"/>
    </xf>
    <xf borderId="5" fillId="2" fontId="6" numFmtId="164" xfId="0" applyAlignment="1" applyBorder="1" applyFont="1" applyNumberFormat="1">
      <alignment vertical="center"/>
    </xf>
    <xf borderId="0" fillId="0" fontId="6" numFmtId="0" xfId="0" applyAlignment="1" applyFont="1">
      <alignment horizontal="center"/>
    </xf>
    <xf borderId="7" fillId="0" fontId="1" numFmtId="0" xfId="0" applyAlignment="1" applyBorder="1" applyFont="1">
      <alignment horizontal="center" shrinkToFit="0" vertical="center" wrapText="1"/>
    </xf>
    <xf borderId="8" fillId="0" fontId="6" numFmtId="0" xfId="0" applyAlignment="1" applyBorder="1" applyFont="1">
      <alignment horizontal="left" shrinkToFit="0" vertical="center" wrapText="1"/>
    </xf>
    <xf borderId="8" fillId="0" fontId="4" numFmtId="0" xfId="0" applyBorder="1" applyFont="1"/>
    <xf borderId="9" fillId="0" fontId="4" numFmtId="0" xfId="0" applyBorder="1" applyFont="1"/>
    <xf borderId="10" fillId="0" fontId="1" numFmtId="0" xfId="0" applyAlignment="1" applyBorder="1" applyFont="1">
      <alignment horizontal="center" shrinkToFit="0" vertical="center" wrapText="1"/>
    </xf>
    <xf borderId="10" fillId="0" fontId="4" numFmtId="0" xfId="0" applyBorder="1" applyFont="1"/>
    <xf borderId="5" fillId="0" fontId="6" numFmtId="0" xfId="0" applyAlignment="1" applyBorder="1" applyFont="1">
      <alignment horizontal="center" shrinkToFit="0" vertical="center" wrapText="1"/>
    </xf>
    <xf borderId="5" fillId="5" fontId="6" numFmtId="0" xfId="0" applyAlignment="1" applyBorder="1" applyFill="1" applyFont="1">
      <alignment horizontal="center" vertical="center"/>
    </xf>
    <xf borderId="5" fillId="5" fontId="9" numFmtId="0" xfId="0" applyAlignment="1" applyBorder="1" applyFont="1">
      <alignment horizontal="center" readingOrder="0" vertical="center"/>
    </xf>
    <xf borderId="5" fillId="5" fontId="6" numFmtId="0" xfId="0" applyAlignment="1" applyBorder="1" applyFont="1">
      <alignment horizontal="center" shrinkToFit="0" vertical="center" wrapText="1"/>
    </xf>
    <xf borderId="5" fillId="5" fontId="6" numFmtId="0" xfId="0" applyAlignment="1" applyBorder="1" applyFont="1">
      <alignment horizontal="center" readingOrder="0" shrinkToFit="0" vertical="center" wrapText="1"/>
    </xf>
    <xf borderId="5" fillId="5" fontId="6" numFmtId="14" xfId="0" applyAlignment="1" applyBorder="1" applyFont="1" applyNumberFormat="1">
      <alignment horizontal="center" readingOrder="0" shrinkToFit="0" vertical="center" wrapText="1"/>
    </xf>
    <xf borderId="5" fillId="5" fontId="6" numFmtId="0" xfId="0" applyAlignment="1" applyBorder="1" applyFont="1">
      <alignment horizontal="center" readingOrder="0" vertical="center"/>
    </xf>
    <xf borderId="5" fillId="5" fontId="6" numFmtId="14" xfId="0" applyAlignment="1" applyBorder="1" applyFont="1" applyNumberFormat="1">
      <alignment horizontal="center" shrinkToFit="0" vertical="center" wrapText="1"/>
    </xf>
    <xf borderId="0" fillId="0" fontId="6" numFmtId="0" xfId="0" applyAlignment="1" applyFont="1">
      <alignment horizontal="right"/>
    </xf>
    <xf borderId="6" fillId="4" fontId="7" numFmtId="0" xfId="0" applyBorder="1" applyFont="1"/>
    <xf borderId="11" fillId="0" fontId="10" numFmtId="0" xfId="0" applyAlignment="1" applyBorder="1" applyFont="1">
      <alignment horizontal="center"/>
    </xf>
    <xf borderId="12" fillId="0" fontId="4" numFmtId="0" xfId="0" applyBorder="1" applyFont="1"/>
    <xf borderId="13" fillId="0" fontId="4" numFmtId="0" xfId="0" applyBorder="1" applyFont="1"/>
    <xf borderId="14" fillId="0" fontId="1" numFmtId="0" xfId="0" applyAlignment="1" applyBorder="1" applyFont="1">
      <alignment horizontal="center"/>
    </xf>
    <xf borderId="15" fillId="0" fontId="4" numFmtId="0" xfId="0" applyBorder="1" applyFont="1"/>
    <xf borderId="14" fillId="0" fontId="5" numFmtId="0" xfId="0" applyAlignment="1" applyBorder="1" applyFont="1">
      <alignment horizontal="center"/>
    </xf>
    <xf borderId="0" fillId="0" fontId="5" numFmtId="0" xfId="0" applyAlignment="1" applyFont="1">
      <alignment horizontal="center"/>
    </xf>
    <xf borderId="15" fillId="0" fontId="5" numFmtId="0" xfId="0" applyAlignment="1" applyBorder="1" applyFont="1">
      <alignment horizontal="center"/>
    </xf>
    <xf borderId="0" fillId="0" fontId="5" numFmtId="0" xfId="0" applyAlignment="1" applyFont="1">
      <alignment horizontal="center" vertical="center"/>
    </xf>
    <xf borderId="16" fillId="0" fontId="8" numFmtId="0" xfId="0" applyAlignment="1" applyBorder="1" applyFont="1">
      <alignment horizontal="left" vertical="center"/>
    </xf>
    <xf borderId="2" fillId="5" fontId="11" numFmtId="0" xfId="0" applyAlignment="1" applyBorder="1" applyFont="1">
      <alignment horizontal="center" readingOrder="0" shrinkToFit="0" vertical="center" wrapText="1"/>
    </xf>
    <xf borderId="5" fillId="5" fontId="12" numFmtId="0" xfId="0" applyAlignment="1" applyBorder="1" applyFont="1">
      <alignment shrinkToFit="0" vertical="center" wrapText="1"/>
    </xf>
    <xf borderId="17" fillId="4" fontId="12" numFmtId="0" xfId="0" applyAlignment="1" applyBorder="1" applyFont="1">
      <alignment shrinkToFit="0" vertical="center" wrapText="1"/>
    </xf>
    <xf borderId="2" fillId="5" fontId="6" numFmtId="0" xfId="0" applyAlignment="1" applyBorder="1" applyFont="1">
      <alignment horizontal="center" readingOrder="0" vertical="center"/>
    </xf>
    <xf borderId="2" fillId="5" fontId="6" numFmtId="0" xfId="0" applyAlignment="1" applyBorder="1" applyFont="1">
      <alignment horizontal="center" shrinkToFit="0" vertical="center" wrapText="1"/>
    </xf>
    <xf borderId="0" fillId="0" fontId="8" numFmtId="0" xfId="0" applyFont="1"/>
    <xf borderId="15" fillId="0" fontId="8" numFmtId="0" xfId="0" applyBorder="1" applyFont="1"/>
    <xf borderId="6" fillId="4" fontId="7" numFmtId="14" xfId="0" applyBorder="1" applyFont="1" applyNumberFormat="1"/>
    <xf borderId="18" fillId="0" fontId="8" numFmtId="0" xfId="0" applyBorder="1" applyFont="1"/>
    <xf borderId="6" fillId="4" fontId="7" numFmtId="164" xfId="0" applyBorder="1" applyFont="1" applyNumberFormat="1"/>
    <xf borderId="5" fillId="0" fontId="8" numFmtId="0" xfId="0" applyAlignment="1" applyBorder="1" applyFont="1">
      <alignment horizontal="right" vertical="center"/>
    </xf>
    <xf borderId="2" fillId="0" fontId="13" numFmtId="164" xfId="0" applyAlignment="1" applyBorder="1" applyFont="1" applyNumberFormat="1">
      <alignment horizontal="center" vertical="center"/>
    </xf>
    <xf borderId="17" fillId="4" fontId="6" numFmtId="0" xfId="0" applyBorder="1" applyFont="1"/>
    <xf borderId="15" fillId="0" fontId="6" numFmtId="0" xfId="0" applyBorder="1" applyFont="1"/>
    <xf borderId="14" fillId="0" fontId="6" numFmtId="0" xfId="0" applyBorder="1" applyFont="1"/>
    <xf borderId="0" fillId="0" fontId="6" numFmtId="0" xfId="0" applyAlignment="1" applyFont="1">
      <alignment horizontal="left"/>
    </xf>
    <xf borderId="14" fillId="0" fontId="14" numFmtId="0" xfId="0" applyBorder="1" applyFont="1"/>
    <xf borderId="0" fillId="0" fontId="15" numFmtId="0" xfId="0" applyAlignment="1" applyFont="1">
      <alignment horizontal="center"/>
    </xf>
    <xf borderId="19" fillId="6" fontId="16" numFmtId="0" xfId="0" applyAlignment="1" applyBorder="1" applyFill="1" applyFont="1">
      <alignment horizontal="center" shrinkToFit="0" vertical="center" wrapText="1"/>
    </xf>
    <xf borderId="5" fillId="6" fontId="16" numFmtId="0" xfId="0" applyAlignment="1" applyBorder="1" applyFont="1">
      <alignment horizontal="center" shrinkToFit="0" textRotation="90" vertical="center" wrapText="1"/>
    </xf>
    <xf borderId="5" fillId="6" fontId="16" numFmtId="0" xfId="0" applyAlignment="1" applyBorder="1" applyFont="1">
      <alignment horizontal="center" shrinkToFit="0" vertical="center" wrapText="1"/>
    </xf>
    <xf borderId="2" fillId="6" fontId="16" numFmtId="0" xfId="0" applyAlignment="1" applyBorder="1" applyFont="1">
      <alignment horizontal="center" shrinkToFit="0" vertical="center" wrapText="1"/>
    </xf>
    <xf borderId="19" fillId="0" fontId="6" numFmtId="0" xfId="0" applyBorder="1" applyFont="1"/>
    <xf borderId="5" fillId="0" fontId="6" numFmtId="0" xfId="0" applyAlignment="1" applyBorder="1" applyFont="1">
      <alignment horizontal="center"/>
    </xf>
    <xf borderId="5" fillId="0" fontId="6" numFmtId="0" xfId="0" applyAlignment="1" applyBorder="1" applyFont="1">
      <alignment horizontal="center" readingOrder="0"/>
    </xf>
    <xf borderId="2" fillId="7" fontId="6" numFmtId="0" xfId="0" applyAlignment="1" applyBorder="1" applyFill="1" applyFont="1">
      <alignment horizontal="left" readingOrder="0"/>
    </xf>
    <xf borderId="5" fillId="0" fontId="6" numFmtId="166" xfId="0" applyAlignment="1" applyBorder="1" applyFont="1" applyNumberFormat="1">
      <alignment horizontal="center"/>
    </xf>
    <xf borderId="5" fillId="0" fontId="6" numFmtId="0" xfId="0" applyBorder="1" applyFont="1"/>
    <xf borderId="5" fillId="7" fontId="6" numFmtId="167" xfId="0" applyBorder="1" applyFont="1" applyNumberFormat="1"/>
    <xf borderId="5" fillId="0" fontId="6" numFmtId="166" xfId="0" applyAlignment="1" applyBorder="1" applyFont="1" applyNumberFormat="1">
      <alignment readingOrder="0"/>
    </xf>
    <xf borderId="5" fillId="0" fontId="6" numFmtId="168" xfId="0" applyBorder="1" applyFont="1" applyNumberFormat="1"/>
    <xf borderId="5" fillId="0" fontId="6" numFmtId="164" xfId="0" applyAlignment="1" applyBorder="1" applyFont="1" applyNumberFormat="1">
      <alignment readingOrder="0"/>
    </xf>
    <xf borderId="5" fillId="0" fontId="6" numFmtId="164" xfId="0" applyBorder="1" applyFont="1" applyNumberFormat="1"/>
    <xf borderId="5" fillId="4" fontId="17" numFmtId="0" xfId="0" applyAlignment="1" applyBorder="1" applyFont="1">
      <alignment horizontal="center"/>
    </xf>
    <xf borderId="20" fillId="4" fontId="18" numFmtId="0" xfId="0" applyBorder="1" applyFont="1"/>
    <xf borderId="21" fillId="4" fontId="7" numFmtId="164" xfId="0" applyBorder="1" applyFont="1" applyNumberFormat="1"/>
    <xf borderId="6" fillId="4" fontId="6" numFmtId="164" xfId="0" applyBorder="1" applyFont="1" applyNumberFormat="1"/>
    <xf borderId="2" fillId="7" fontId="6" numFmtId="166" xfId="0" applyAlignment="1" applyBorder="1" applyFont="1" applyNumberFormat="1">
      <alignment horizontal="left"/>
    </xf>
    <xf borderId="5" fillId="7" fontId="6" numFmtId="167" xfId="0" applyAlignment="1" applyBorder="1" applyFont="1" applyNumberFormat="1">
      <alignment readingOrder="0"/>
    </xf>
    <xf borderId="19" fillId="0" fontId="6" numFmtId="0" xfId="0" applyAlignment="1" applyBorder="1" applyFont="1">
      <alignment readingOrder="0"/>
    </xf>
    <xf borderId="5" fillId="0" fontId="6" numFmtId="166" xfId="0" applyBorder="1" applyFont="1" applyNumberFormat="1"/>
    <xf borderId="2" fillId="0" fontId="6" numFmtId="166" xfId="0" applyAlignment="1" applyBorder="1" applyFont="1" applyNumberFormat="1">
      <alignment horizontal="left"/>
    </xf>
    <xf borderId="5" fillId="0" fontId="6" numFmtId="167" xfId="0" applyBorder="1" applyFont="1" applyNumberFormat="1"/>
    <xf borderId="22" fillId="0" fontId="6" numFmtId="0" xfId="0" applyBorder="1" applyFont="1"/>
    <xf borderId="23" fillId="0" fontId="6" numFmtId="0" xfId="0" applyAlignment="1" applyBorder="1" applyFont="1">
      <alignment horizontal="right"/>
    </xf>
    <xf borderId="0" fillId="0" fontId="7" numFmtId="167" xfId="0" applyFont="1" applyNumberFormat="1"/>
    <xf borderId="24" fillId="0" fontId="6" numFmtId="0" xfId="0" applyBorder="1" applyFont="1"/>
    <xf borderId="25" fillId="0" fontId="6" numFmtId="164" xfId="0" applyBorder="1" applyFont="1" applyNumberFormat="1"/>
    <xf borderId="0" fillId="0" fontId="18" numFmtId="0" xfId="0" applyFont="1"/>
    <xf borderId="0" fillId="0" fontId="7" numFmtId="0" xfId="0" applyFont="1"/>
    <xf borderId="0" fillId="0" fontId="7" numFmtId="0" xfId="0" applyAlignment="1" applyFont="1">
      <alignment horizontal="right"/>
    </xf>
    <xf borderId="0" fillId="0" fontId="7" numFmtId="169" xfId="0" applyFont="1" applyNumberFormat="1"/>
    <xf borderId="23" fillId="0" fontId="6" numFmtId="167" xfId="0" applyAlignment="1" applyBorder="1" applyFont="1" applyNumberFormat="1">
      <alignment horizontal="center"/>
    </xf>
    <xf borderId="18" fillId="0" fontId="4" numFmtId="0" xfId="0" applyBorder="1" applyFont="1"/>
    <xf borderId="23" fillId="0" fontId="6" numFmtId="0" xfId="0" applyBorder="1" applyFont="1"/>
    <xf borderId="0" fillId="0" fontId="6" numFmtId="167" xfId="0" applyAlignment="1" applyFont="1" applyNumberFormat="1">
      <alignment horizontal="right"/>
    </xf>
    <xf borderId="18" fillId="0" fontId="6" numFmtId="0" xfId="0" applyBorder="1" applyFont="1"/>
    <xf borderId="26" fillId="0" fontId="12" numFmtId="0" xfId="0" applyBorder="1" applyFont="1"/>
    <xf borderId="8" fillId="0" fontId="11" numFmtId="0" xfId="0" applyBorder="1" applyFont="1"/>
    <xf borderId="18" fillId="0" fontId="6" numFmtId="167" xfId="0" applyAlignment="1" applyBorder="1" applyFont="1" applyNumberFormat="1">
      <alignment horizontal="right"/>
    </xf>
    <xf borderId="27" fillId="0" fontId="6" numFmtId="164" xfId="0" applyBorder="1" applyFont="1" applyNumberFormat="1"/>
    <xf borderId="28" fillId="0" fontId="6" numFmtId="0" xfId="0" applyBorder="1" applyFont="1"/>
    <xf borderId="29" fillId="0" fontId="6" numFmtId="0" xfId="0" applyAlignment="1" applyBorder="1" applyFont="1">
      <alignment horizontal="center"/>
    </xf>
    <xf borderId="29" fillId="0" fontId="6" numFmtId="0" xfId="0" applyBorder="1" applyFont="1"/>
    <xf borderId="30" fillId="0" fontId="8" numFmtId="167" xfId="0" applyAlignment="1" applyBorder="1" applyFont="1" applyNumberFormat="1">
      <alignment horizontal="center" vertical="center"/>
    </xf>
    <xf borderId="31" fillId="0" fontId="4" numFmtId="0" xfId="0" applyBorder="1" applyFont="1"/>
    <xf borderId="32" fillId="0" fontId="4" numFmtId="0" xfId="0" applyBorder="1" applyFont="1"/>
    <xf borderId="33" fillId="0" fontId="1" numFmtId="164" xfId="0" applyAlignment="1" applyBorder="1" applyFont="1" applyNumberFormat="1">
      <alignment vertical="center"/>
    </xf>
    <xf borderId="0" fillId="0" fontId="7" numFmtId="0" xfId="0" applyAlignment="1" applyFont="1">
      <alignment horizontal="center"/>
    </xf>
    <xf borderId="11" fillId="0" fontId="1" numFmtId="0" xfId="0" applyBorder="1" applyFont="1"/>
    <xf borderId="12" fillId="0" fontId="5" numFmtId="0" xfId="0" applyBorder="1" applyFont="1"/>
    <xf borderId="13" fillId="0" fontId="5" numFmtId="0" xfId="0" applyBorder="1" applyFont="1"/>
    <xf borderId="0" fillId="0" fontId="5" numFmtId="0" xfId="0" applyFont="1"/>
    <xf borderId="14" fillId="0" fontId="1" numFmtId="0" xfId="0" applyBorder="1" applyFont="1"/>
    <xf borderId="15" fillId="0" fontId="5" numFmtId="0" xfId="0" applyBorder="1" applyFont="1"/>
    <xf borderId="14" fillId="0" fontId="5" numFmtId="0" xfId="0" applyBorder="1" applyFont="1"/>
    <xf borderId="0" fillId="0" fontId="5" numFmtId="0" xfId="0" applyAlignment="1" applyFont="1">
      <alignment horizontal="right"/>
    </xf>
    <xf borderId="14" fillId="0" fontId="1" numFmtId="0" xfId="0" applyAlignment="1" applyBorder="1" applyFont="1">
      <alignment horizontal="center" readingOrder="0"/>
    </xf>
    <xf borderId="14" fillId="0" fontId="1" numFmtId="0" xfId="0" applyAlignment="1" applyBorder="1" applyFont="1">
      <alignment horizontal="right" vertical="center"/>
    </xf>
    <xf borderId="0" fillId="0" fontId="12" numFmtId="0" xfId="0" applyAlignment="1" applyFont="1">
      <alignment horizontal="center" vertical="center"/>
    </xf>
    <xf borderId="5" fillId="0" fontId="1" numFmtId="0" xfId="0" applyAlignment="1" applyBorder="1" applyFont="1">
      <alignment vertical="center"/>
    </xf>
    <xf borderId="2" fillId="0" fontId="19" numFmtId="164" xfId="0" applyAlignment="1" applyBorder="1" applyFont="1" applyNumberFormat="1">
      <alignment horizontal="center" vertical="center"/>
    </xf>
    <xf borderId="5" fillId="0" fontId="8" numFmtId="0" xfId="0" applyAlignment="1" applyBorder="1" applyFont="1">
      <alignment horizontal="center" shrinkToFit="0" vertical="center" wrapText="1"/>
    </xf>
    <xf borderId="5" fillId="0" fontId="1" numFmtId="0" xfId="0" applyAlignment="1" applyBorder="1" applyFont="1">
      <alignment shrinkToFit="0" wrapText="1"/>
    </xf>
    <xf borderId="5" fillId="0" fontId="20" numFmtId="0" xfId="0" applyAlignment="1" applyBorder="1" applyFont="1">
      <alignment horizontal="center" vertical="center"/>
    </xf>
    <xf borderId="0" fillId="0" fontId="21" numFmtId="0" xfId="0" applyFont="1"/>
    <xf borderId="0" fillId="0" fontId="5" numFmtId="4" xfId="0" applyFont="1" applyNumberFormat="1"/>
    <xf borderId="2" fillId="0" fontId="8" numFmtId="0" xfId="0" applyAlignment="1" applyBorder="1" applyFont="1">
      <alignment horizontal="center" shrinkToFit="0" vertical="center" wrapText="1"/>
    </xf>
    <xf borderId="0" fillId="0" fontId="22" numFmtId="0" xfId="0" applyFont="1"/>
    <xf borderId="0" fillId="0" fontId="23" numFmtId="164" xfId="0" applyFont="1" applyNumberFormat="1"/>
    <xf borderId="34" fillId="0" fontId="8" numFmtId="0" xfId="0" applyBorder="1" applyFont="1"/>
    <xf borderId="35" fillId="0" fontId="8" numFmtId="0" xfId="0" applyAlignment="1" applyBorder="1" applyFont="1">
      <alignment horizontal="center"/>
    </xf>
    <xf borderId="36" fillId="0" fontId="4" numFmtId="0" xfId="0" applyBorder="1" applyFont="1"/>
    <xf borderId="37" fillId="0" fontId="4" numFmtId="0" xfId="0" applyBorder="1" applyFont="1"/>
    <xf borderId="38" fillId="0" fontId="6" numFmtId="0" xfId="0" applyBorder="1" applyFont="1"/>
    <xf borderId="38" fillId="0" fontId="8" numFmtId="2" xfId="0" applyBorder="1" applyFont="1" applyNumberFormat="1"/>
    <xf borderId="20" fillId="8" fontId="10" numFmtId="164" xfId="0" applyBorder="1" applyFill="1" applyFont="1" applyNumberFormat="1"/>
    <xf borderId="0" fillId="0" fontId="7" numFmtId="164" xfId="0" applyFont="1" applyNumberFormat="1"/>
    <xf borderId="34" fillId="0" fontId="24" numFmtId="0" xfId="0" applyBorder="1" applyFont="1"/>
    <xf borderId="35" fillId="0" fontId="24" numFmtId="0" xfId="0" applyAlignment="1" applyBorder="1" applyFont="1">
      <alignment horizontal="center"/>
    </xf>
    <xf borderId="38" fillId="0" fontId="11" numFmtId="0" xfId="0" applyBorder="1" applyFont="1"/>
    <xf borderId="5" fillId="9" fontId="5" numFmtId="164" xfId="0" applyBorder="1" applyFill="1" applyFont="1" applyNumberFormat="1"/>
    <xf borderId="25" fillId="0" fontId="24" numFmtId="2" xfId="0" applyBorder="1" applyFont="1" applyNumberFormat="1"/>
    <xf borderId="19" fillId="0" fontId="5" numFmtId="0" xfId="0" applyBorder="1" applyFont="1"/>
    <xf borderId="2" fillId="0" fontId="6" numFmtId="0" xfId="0" applyAlignment="1" applyBorder="1" applyFont="1">
      <alignment horizontal="left"/>
    </xf>
    <xf borderId="5" fillId="0" fontId="11" numFmtId="167" xfId="0" applyAlignment="1" applyBorder="1" applyFont="1" applyNumberFormat="1">
      <alignment horizontal="right"/>
    </xf>
    <xf borderId="3" fillId="0" fontId="25" numFmtId="0" xfId="0" applyBorder="1" applyFont="1"/>
    <xf borderId="39" fillId="0" fontId="22" numFmtId="164" xfId="0" applyBorder="1" applyFont="1" applyNumberFormat="1"/>
    <xf borderId="5" fillId="0" fontId="11" numFmtId="2" xfId="0" applyAlignment="1" applyBorder="1" applyFont="1" applyNumberFormat="1">
      <alignment horizontal="right"/>
    </xf>
    <xf borderId="25" fillId="0" fontId="22" numFmtId="0" xfId="0" applyBorder="1" applyFont="1"/>
    <xf borderId="25" fillId="0" fontId="22" numFmtId="164" xfId="0" applyBorder="1" applyFont="1" applyNumberFormat="1"/>
    <xf borderId="19" fillId="0" fontId="24" numFmtId="0" xfId="0" applyBorder="1" applyFont="1"/>
    <xf borderId="2" fillId="0" fontId="24" numFmtId="0" xfId="0" applyAlignment="1" applyBorder="1" applyFont="1">
      <alignment horizontal="left"/>
    </xf>
    <xf borderId="5" fillId="0" fontId="12" numFmtId="167" xfId="0" applyBorder="1" applyFont="1" applyNumberFormat="1"/>
    <xf borderId="25" fillId="0" fontId="25" numFmtId="0" xfId="0" applyBorder="1" applyFont="1"/>
    <xf borderId="19" fillId="0" fontId="25" numFmtId="0" xfId="0" applyBorder="1" applyFont="1"/>
    <xf borderId="2" fillId="0" fontId="6" numFmtId="0" xfId="0" applyAlignment="1" applyBorder="1" applyFont="1">
      <alignment horizontal="left" shrinkToFit="0" vertical="center" wrapText="1"/>
    </xf>
    <xf borderId="5" fillId="0" fontId="24" numFmtId="0" xfId="0" applyBorder="1" applyFont="1"/>
    <xf borderId="2" fillId="0" fontId="6" numFmtId="0" xfId="0" applyAlignment="1" applyBorder="1" applyFont="1">
      <alignment horizontal="left" shrinkToFit="0" vertical="top" wrapText="1"/>
    </xf>
    <xf borderId="5" fillId="0" fontId="25" numFmtId="0" xfId="0" applyBorder="1" applyFont="1"/>
    <xf borderId="5" fillId="0" fontId="1" numFmtId="0" xfId="0" applyBorder="1" applyFont="1"/>
    <xf borderId="2" fillId="0" fontId="1" numFmtId="0" xfId="0" applyAlignment="1" applyBorder="1" applyFont="1">
      <alignment horizontal="left"/>
    </xf>
    <xf borderId="5" fillId="0" fontId="5" numFmtId="0" xfId="0" applyBorder="1" applyFont="1"/>
    <xf borderId="5" fillId="0" fontId="1" numFmtId="2" xfId="0" applyBorder="1" applyFont="1" applyNumberFormat="1"/>
    <xf borderId="0" fillId="0" fontId="8" numFmtId="0" xfId="0" applyAlignment="1" applyFont="1">
      <alignment horizontal="center"/>
    </xf>
    <xf borderId="0" fillId="0" fontId="26" numFmtId="0" xfId="0" applyFont="1"/>
    <xf borderId="5" fillId="10" fontId="6" numFmtId="0" xfId="0" applyBorder="1" applyFill="1" applyFont="1"/>
    <xf borderId="6" fillId="10" fontId="27" numFmtId="0" xfId="0" applyBorder="1" applyFont="1"/>
    <xf borderId="5" fillId="11" fontId="8" numFmtId="0" xfId="0" applyAlignment="1" applyBorder="1" applyFill="1" applyFont="1">
      <alignment horizontal="left"/>
    </xf>
    <xf borderId="6" fillId="10" fontId="6" numFmtId="0" xfId="0" applyAlignment="1" applyBorder="1" applyFont="1">
      <alignment horizontal="left"/>
    </xf>
    <xf borderId="0" fillId="0" fontId="28" numFmtId="0" xfId="0" applyAlignment="1" applyFont="1">
      <alignment horizontal="center"/>
    </xf>
    <xf borderId="0" fillId="0" fontId="8" numFmtId="0" xfId="0" applyAlignment="1" applyFont="1">
      <alignment horizontal="left"/>
    </xf>
    <xf borderId="2" fillId="12" fontId="29" numFmtId="0" xfId="0" applyAlignment="1" applyBorder="1" applyFill="1" applyFont="1">
      <alignment horizontal="left"/>
    </xf>
    <xf borderId="6" fillId="12" fontId="8" numFmtId="0" xfId="0" applyAlignment="1" applyBorder="1" applyFont="1">
      <alignment horizontal="left"/>
    </xf>
    <xf borderId="40" fillId="12" fontId="6" numFmtId="170" xfId="0" applyAlignment="1" applyBorder="1" applyFont="1" applyNumberFormat="1">
      <alignment horizontal="center"/>
    </xf>
    <xf borderId="41" fillId="0" fontId="4" numFmtId="0" xfId="0" applyBorder="1" applyFont="1"/>
    <xf borderId="6" fillId="12" fontId="6" numFmtId="0" xfId="0" applyBorder="1" applyFont="1"/>
    <xf borderId="0" fillId="0" fontId="6" numFmtId="0" xfId="0" applyFont="1"/>
    <xf borderId="6" fillId="10" fontId="6" numFmtId="0" xfId="0" applyAlignment="1" applyBorder="1" applyFont="1">
      <alignment horizontal="center"/>
    </xf>
    <xf borderId="40" fillId="10" fontId="6" numFmtId="0" xfId="0" applyAlignment="1" applyBorder="1" applyFont="1">
      <alignment horizontal="left"/>
    </xf>
    <xf borderId="6" fillId="10" fontId="6" numFmtId="0" xfId="0" applyBorder="1" applyFont="1"/>
    <xf borderId="6" fillId="10" fontId="6" numFmtId="166" xfId="0" applyBorder="1" applyFont="1" applyNumberFormat="1"/>
    <xf borderId="0" fillId="0" fontId="6" numFmtId="169" xfId="0" applyFont="1" applyNumberFormat="1"/>
    <xf borderId="0" fillId="0" fontId="6" numFmtId="167" xfId="0" applyFont="1" applyNumberFormat="1"/>
    <xf borderId="12" fillId="0" fontId="6" numFmtId="0" xfId="0" applyBorder="1" applyFont="1"/>
    <xf borderId="6" fillId="11" fontId="6" numFmtId="0" xfId="0" applyAlignment="1" applyBorder="1" applyFont="1">
      <alignment horizontal="left"/>
    </xf>
    <xf borderId="6" fillId="11" fontId="6" numFmtId="0" xfId="0" applyAlignment="1" applyBorder="1" applyFont="1">
      <alignment horizontal="center"/>
    </xf>
    <xf borderId="6" fillId="11" fontId="6" numFmtId="0" xfId="0" applyBorder="1" applyFont="1"/>
    <xf borderId="6" fillId="11" fontId="30" numFmtId="167" xfId="0" applyBorder="1" applyFont="1" applyNumberFormat="1"/>
    <xf borderId="0" fillId="0" fontId="6" numFmtId="167" xfId="0" applyAlignment="1" applyFont="1" applyNumberFormat="1">
      <alignment horizontal="center"/>
    </xf>
    <xf borderId="40" fillId="11" fontId="6" numFmtId="0" xfId="0" applyAlignment="1" applyBorder="1" applyFont="1">
      <alignment horizontal="left"/>
    </xf>
    <xf borderId="6" fillId="11" fontId="6" numFmtId="171" xfId="0" applyBorder="1" applyFont="1" applyNumberFormat="1"/>
    <xf borderId="6" fillId="11" fontId="6" numFmtId="167" xfId="0" applyBorder="1" applyFont="1" applyNumberFormat="1"/>
  </cellXfs>
  <cellStyles count="1">
    <cellStyle xfId="0" name="Normal" builtinId="0"/>
  </cellStyles>
  <dxfs count="6">
    <dxf>
      <font/>
      <fill>
        <patternFill patternType="solid">
          <fgColor rgb="FFFF0000"/>
          <bgColor rgb="FFFF0000"/>
        </patternFill>
      </fill>
      <border/>
    </dxf>
    <dxf>
      <font/>
      <fill>
        <patternFill patternType="solid">
          <fgColor rgb="FFFFFF00"/>
          <bgColor rgb="FFFFFF00"/>
        </patternFill>
      </fill>
      <border/>
    </dxf>
    <dxf>
      <font>
        <color theme="0"/>
      </font>
      <fill>
        <patternFill patternType="none"/>
      </fill>
      <border/>
    </dxf>
    <dxf>
      <font>
        <color rgb="FF9C5700"/>
      </font>
      <fill>
        <patternFill patternType="solid">
          <fgColor rgb="FFFFEB9C"/>
          <bgColor rgb="FFFFEB9C"/>
        </patternFill>
      </fill>
      <border/>
    </dxf>
    <dxf>
      <font>
        <color rgb="FF9C0006"/>
      </font>
      <fill>
        <patternFill patternType="solid">
          <fgColor rgb="FFFFC7CE"/>
          <bgColor rgb="FFFFC7CE"/>
        </patternFill>
      </fill>
      <border/>
    </dxf>
    <dxf>
      <font>
        <color rgb="FF006100"/>
      </font>
      <fill>
        <patternFill patternType="solid">
          <fgColor rgb="FFC6EFCE"/>
          <bgColor rgb="FFC6EFCE"/>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1" Type="http://customschemas.google.com/relationships/workbookmetadata" Target="metadata"/><Relationship Id="rId10" Type="http://schemas.openxmlformats.org/officeDocument/2006/relationships/worksheet" Target="worksheets/sheet6.xml"/><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hyperlink" Target="http://www.usac.edu.gt/solicitud" TargetMode="External"/><Relationship Id="rId2" Type="http://schemas.openxmlformats.org/officeDocument/2006/relationships/hyperlink" Target="mailto:apoyoinformatica@digi.usac.edu.gt" TargetMode="External"/><Relationship Id="rId3"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5.xml"/><Relationship Id="rId3"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47.5"/>
    <col customWidth="1" min="2" max="2" width="19.25"/>
    <col customWidth="1" min="3" max="3" width="19.75"/>
    <col customWidth="1" min="4" max="4" width="17.75"/>
    <col customWidth="1" min="5" max="5" width="15.5"/>
    <col customWidth="1" min="6" max="6" width="16.5"/>
    <col customWidth="1" min="7" max="7" width="12.5"/>
    <col customWidth="1" min="8" max="8" width="10.63"/>
    <col customWidth="1" min="9" max="9" width="11.75"/>
    <col customWidth="1" min="10" max="26" width="10.63"/>
  </cols>
  <sheetData>
    <row r="1" ht="12.75" customHeight="1">
      <c r="A1" s="1" t="s">
        <v>0</v>
      </c>
      <c r="B1" s="2" t="s">
        <v>1</v>
      </c>
    </row>
    <row r="2" ht="12.75" customHeight="1"/>
    <row r="3" ht="26.25" customHeight="1">
      <c r="A3" s="3" t="s">
        <v>2</v>
      </c>
      <c r="B3" s="4">
        <v>400000.0</v>
      </c>
      <c r="C3" s="5"/>
      <c r="D3" s="6"/>
      <c r="F3" s="7"/>
      <c r="G3" s="5"/>
      <c r="H3" s="6"/>
    </row>
    <row r="4" ht="26.25" customHeight="1">
      <c r="A4" s="8"/>
      <c r="B4" s="5"/>
      <c r="C4" s="5"/>
      <c r="D4" s="6"/>
      <c r="F4" s="9"/>
      <c r="G4" s="10"/>
      <c r="H4" s="6"/>
    </row>
    <row r="5" ht="12.75" customHeight="1">
      <c r="A5" s="11" t="s">
        <v>3</v>
      </c>
      <c r="B5" s="12" t="s">
        <v>4</v>
      </c>
      <c r="C5" s="12" t="s">
        <v>5</v>
      </c>
      <c r="D5" s="12" t="s">
        <v>6</v>
      </c>
      <c r="F5" s="9"/>
      <c r="G5" s="10"/>
      <c r="H5" s="6"/>
      <c r="I5" s="13"/>
      <c r="J5" s="14"/>
    </row>
    <row r="6" ht="12.75" customHeight="1">
      <c r="A6" s="15" t="s">
        <v>7</v>
      </c>
      <c r="B6" s="16">
        <f>B3*0.5</f>
        <v>200000</v>
      </c>
      <c r="C6" s="16">
        <f>SUMIF('Recursos Humanos'!O17:O32,"=NO",'Recursos Humanos'!V17:V32)</f>
        <v>180316</v>
      </c>
      <c r="D6" s="17">
        <f t="shared" ref="D6:D8" si="1">B6-C6</f>
        <v>19684</v>
      </c>
      <c r="F6" s="9"/>
      <c r="G6" s="10"/>
      <c r="H6" s="6"/>
    </row>
    <row r="7" ht="12.75" customHeight="1">
      <c r="A7" s="15" t="s">
        <v>8</v>
      </c>
      <c r="B7" s="16">
        <f>B3*0.3</f>
        <v>120000</v>
      </c>
      <c r="C7" s="16">
        <f>SUMIF('Recursos Humanos'!O17:O32,"=SI",'Recursos Humanos'!V17:V32)</f>
        <v>119908.5</v>
      </c>
      <c r="D7" s="17">
        <f t="shared" si="1"/>
        <v>91.5</v>
      </c>
      <c r="G7" s="18"/>
    </row>
    <row r="8" ht="12.75" customHeight="1">
      <c r="A8" s="19" t="s">
        <v>9</v>
      </c>
      <c r="B8" s="16">
        <f>B3*0.2</f>
        <v>80000</v>
      </c>
      <c r="C8" s="16">
        <f>SUM(Resumen!F21+Resumen!F48+Resumen!F97)</f>
        <v>0</v>
      </c>
      <c r="D8" s="17">
        <f t="shared" si="1"/>
        <v>80000</v>
      </c>
      <c r="E8" s="20">
        <f>B9-Resumen!G12</f>
        <v>99785.5</v>
      </c>
      <c r="F8" s="21"/>
      <c r="G8" s="21"/>
      <c r="H8" s="21"/>
      <c r="I8" s="21"/>
      <c r="J8" s="21"/>
      <c r="K8" s="21"/>
      <c r="L8" s="21"/>
      <c r="M8" s="21"/>
      <c r="N8" s="21"/>
      <c r="O8" s="21"/>
      <c r="P8" s="21"/>
      <c r="Q8" s="21"/>
      <c r="R8" s="21"/>
      <c r="S8" s="21"/>
      <c r="T8" s="21"/>
      <c r="U8" s="21"/>
      <c r="V8" s="21"/>
      <c r="W8" s="21"/>
      <c r="X8" s="21"/>
      <c r="Y8" s="21"/>
      <c r="Z8" s="21"/>
    </row>
    <row r="9" ht="12.75" customHeight="1">
      <c r="A9" s="22" t="s">
        <v>10</v>
      </c>
      <c r="B9" s="23">
        <f t="shared" ref="B9:D9" si="2">SUM(B6:B8)</f>
        <v>400000</v>
      </c>
      <c r="C9" s="23">
        <f t="shared" si="2"/>
        <v>300224.5</v>
      </c>
      <c r="D9" s="23">
        <f t="shared" si="2"/>
        <v>99775.5</v>
      </c>
    </row>
    <row r="10" ht="12.75" customHeight="1">
      <c r="E10" s="24"/>
    </row>
    <row r="11" ht="12.75" customHeight="1"/>
    <row r="12" ht="12.75" customHeight="1"/>
    <row r="13" ht="29.25" customHeight="1">
      <c r="A13" s="25" t="s">
        <v>11</v>
      </c>
      <c r="B13" s="26" t="s">
        <v>12</v>
      </c>
      <c r="C13" s="27"/>
      <c r="D13" s="27"/>
      <c r="E13" s="27"/>
      <c r="F13" s="27"/>
      <c r="G13" s="27"/>
      <c r="H13" s="27"/>
      <c r="I13" s="28"/>
    </row>
    <row r="14" ht="12.0" customHeight="1">
      <c r="A14" s="29"/>
      <c r="B14" s="30"/>
      <c r="C14" s="30"/>
      <c r="D14" s="30"/>
      <c r="E14" s="30"/>
      <c r="F14" s="30"/>
      <c r="G14" s="30"/>
      <c r="H14" s="30"/>
      <c r="I14" s="30"/>
    </row>
    <row r="15" ht="27.75" customHeight="1">
      <c r="A15" s="31" t="s">
        <v>13</v>
      </c>
      <c r="B15" s="31" t="s">
        <v>14</v>
      </c>
      <c r="C15" s="31" t="s">
        <v>15</v>
      </c>
      <c r="D15" s="31" t="s">
        <v>16</v>
      </c>
      <c r="E15" s="31" t="s">
        <v>17</v>
      </c>
      <c r="F15" s="31" t="s">
        <v>18</v>
      </c>
      <c r="G15" s="31" t="s">
        <v>19</v>
      </c>
      <c r="H15" s="31" t="s">
        <v>20</v>
      </c>
      <c r="I15" s="31" t="s">
        <v>21</v>
      </c>
      <c r="J15" s="24"/>
      <c r="K15" s="24"/>
      <c r="L15" s="24"/>
      <c r="M15" s="24"/>
      <c r="N15" s="24"/>
      <c r="O15" s="24"/>
      <c r="P15" s="24"/>
      <c r="Q15" s="24"/>
      <c r="R15" s="24"/>
      <c r="S15" s="24"/>
      <c r="T15" s="24"/>
      <c r="U15" s="24"/>
      <c r="V15" s="24"/>
      <c r="W15" s="24"/>
      <c r="X15" s="24"/>
      <c r="Y15" s="24"/>
      <c r="Z15" s="24"/>
    </row>
    <row r="16" ht="30.0" customHeight="1">
      <c r="A16" s="32">
        <v>1.0</v>
      </c>
      <c r="B16" s="33">
        <v>4.8392017E7</v>
      </c>
      <c r="C16" s="33" t="s">
        <v>22</v>
      </c>
      <c r="D16" s="34" t="s">
        <v>23</v>
      </c>
      <c r="E16" s="34" t="s">
        <v>24</v>
      </c>
      <c r="F16" s="35" t="s">
        <v>25</v>
      </c>
      <c r="G16" s="32">
        <v>4.0</v>
      </c>
      <c r="H16" s="36">
        <v>45779.0</v>
      </c>
      <c r="I16" s="36">
        <v>45930.0</v>
      </c>
    </row>
    <row r="17" ht="30.0" customHeight="1">
      <c r="A17" s="32">
        <v>2.0</v>
      </c>
      <c r="B17" s="33">
        <v>7.5910483E7</v>
      </c>
      <c r="C17" s="33" t="s">
        <v>26</v>
      </c>
      <c r="D17" s="34" t="s">
        <v>23</v>
      </c>
      <c r="E17" s="34" t="s">
        <v>27</v>
      </c>
      <c r="F17" s="35" t="s">
        <v>28</v>
      </c>
      <c r="G17" s="37">
        <v>3.0</v>
      </c>
      <c r="H17" s="36">
        <v>45779.0</v>
      </c>
      <c r="I17" s="36">
        <v>45930.0</v>
      </c>
    </row>
    <row r="18" ht="30.0" customHeight="1">
      <c r="A18" s="32">
        <v>3.0</v>
      </c>
      <c r="B18" s="33">
        <v>1.9384726E7</v>
      </c>
      <c r="C18" s="33" t="s">
        <v>29</v>
      </c>
      <c r="D18" s="35" t="s">
        <v>30</v>
      </c>
      <c r="E18" s="34" t="s">
        <v>31</v>
      </c>
      <c r="F18" s="35" t="s">
        <v>28</v>
      </c>
      <c r="G18" s="32">
        <v>2.0</v>
      </c>
      <c r="H18" s="36">
        <v>45779.0</v>
      </c>
      <c r="I18" s="36">
        <v>45930.0</v>
      </c>
    </row>
    <row r="19" ht="30.0" customHeight="1">
      <c r="A19" s="32">
        <v>4.0</v>
      </c>
      <c r="B19" s="33">
        <v>8.5019234E7</v>
      </c>
      <c r="C19" s="33" t="s">
        <v>32</v>
      </c>
      <c r="D19" s="35" t="s">
        <v>33</v>
      </c>
      <c r="E19" s="34" t="s">
        <v>34</v>
      </c>
      <c r="F19" s="35" t="s">
        <v>28</v>
      </c>
      <c r="G19" s="37">
        <v>2.0</v>
      </c>
      <c r="H19" s="36">
        <v>45779.0</v>
      </c>
      <c r="I19" s="36">
        <v>45930.0</v>
      </c>
    </row>
    <row r="20" ht="30.0" customHeight="1">
      <c r="A20" s="37">
        <v>5.0</v>
      </c>
      <c r="B20" s="33">
        <v>6.7238901E7</v>
      </c>
      <c r="C20" s="33" t="s">
        <v>35</v>
      </c>
      <c r="D20" s="35" t="s">
        <v>36</v>
      </c>
      <c r="E20" s="35" t="s">
        <v>37</v>
      </c>
      <c r="F20" s="35" t="s">
        <v>25</v>
      </c>
      <c r="G20" s="37">
        <v>4.0</v>
      </c>
      <c r="H20" s="36">
        <v>45779.0</v>
      </c>
      <c r="I20" s="36">
        <v>45930.0</v>
      </c>
    </row>
    <row r="21" ht="30.0" customHeight="1">
      <c r="A21" s="37">
        <v>7.0</v>
      </c>
      <c r="B21" s="33">
        <v>9.0817263E7</v>
      </c>
      <c r="C21" s="33" t="s">
        <v>38</v>
      </c>
      <c r="D21" s="35" t="s">
        <v>39</v>
      </c>
      <c r="E21" s="35" t="s">
        <v>34</v>
      </c>
      <c r="F21" s="35" t="s">
        <v>28</v>
      </c>
      <c r="G21" s="37">
        <v>4.0</v>
      </c>
      <c r="H21" s="36">
        <v>45779.0</v>
      </c>
      <c r="I21" s="36">
        <v>45930.0</v>
      </c>
    </row>
    <row r="22" ht="30.0" customHeight="1">
      <c r="A22" s="37">
        <v>9.0</v>
      </c>
      <c r="B22" s="33">
        <v>1.4589072E7</v>
      </c>
      <c r="C22" s="33" t="s">
        <v>40</v>
      </c>
      <c r="D22" s="35" t="s">
        <v>41</v>
      </c>
      <c r="E22" s="35" t="s">
        <v>42</v>
      </c>
      <c r="F22" s="35" t="s">
        <v>25</v>
      </c>
      <c r="G22" s="37">
        <v>6.0</v>
      </c>
      <c r="H22" s="36">
        <v>45779.0</v>
      </c>
      <c r="I22" s="36">
        <v>45930.0</v>
      </c>
    </row>
    <row r="23" ht="30.0" customHeight="1">
      <c r="A23" s="37"/>
      <c r="B23" s="32"/>
      <c r="C23" s="32"/>
      <c r="D23" s="35"/>
      <c r="E23" s="35"/>
      <c r="F23" s="35"/>
      <c r="G23" s="37"/>
      <c r="H23" s="36"/>
      <c r="I23" s="36"/>
    </row>
    <row r="24" ht="30.0" customHeight="1">
      <c r="A24" s="37"/>
      <c r="B24" s="32"/>
      <c r="C24" s="32"/>
      <c r="D24" s="35"/>
      <c r="E24" s="35"/>
      <c r="F24" s="35"/>
      <c r="G24" s="37"/>
      <c r="H24" s="36"/>
      <c r="I24" s="36"/>
    </row>
    <row r="25" ht="30.0" customHeight="1">
      <c r="A25" s="32"/>
      <c r="B25" s="32"/>
      <c r="C25" s="32"/>
      <c r="D25" s="34"/>
      <c r="E25" s="34"/>
      <c r="F25" s="34"/>
      <c r="G25" s="32"/>
      <c r="H25" s="38"/>
      <c r="I25" s="38"/>
    </row>
    <row r="26" ht="30.0" customHeight="1">
      <c r="A26" s="32"/>
      <c r="B26" s="32"/>
      <c r="C26" s="32"/>
      <c r="D26" s="34"/>
      <c r="E26" s="34"/>
      <c r="F26" s="34"/>
      <c r="G26" s="32"/>
      <c r="H26" s="38"/>
      <c r="I26" s="38"/>
    </row>
    <row r="27" ht="30.0" customHeight="1">
      <c r="A27" s="32"/>
      <c r="B27" s="32"/>
      <c r="C27" s="32"/>
      <c r="D27" s="34"/>
      <c r="E27" s="34"/>
      <c r="F27" s="34"/>
      <c r="G27" s="32"/>
      <c r="H27" s="38"/>
      <c r="I27" s="38"/>
    </row>
    <row r="28" ht="12.75" customHeight="1">
      <c r="D28" s="21"/>
    </row>
    <row r="29" ht="12.75" customHeight="1">
      <c r="D29" s="21"/>
    </row>
    <row r="30" ht="12.75" customHeight="1">
      <c r="D30" s="21"/>
    </row>
    <row r="31" ht="12.75" customHeight="1">
      <c r="D31" s="21"/>
    </row>
    <row r="32" ht="12.75" customHeight="1">
      <c r="D32" s="21"/>
    </row>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9">
    <mergeCell ref="B13:I13"/>
    <mergeCell ref="A14:I14"/>
    <mergeCell ref="B3:D3"/>
    <mergeCell ref="F3:H3"/>
    <mergeCell ref="A4:D4"/>
    <mergeCell ref="G4:H4"/>
    <mergeCell ref="G5:H5"/>
    <mergeCell ref="G6:H6"/>
    <mergeCell ref="E10:F10"/>
  </mergeCells>
  <conditionalFormatting sqref="D6:D8">
    <cfRule type="cellIs" dxfId="0" priority="1" operator="lessThanOrEqual">
      <formula>0</formula>
    </cfRule>
  </conditionalFormatting>
  <conditionalFormatting sqref="D6:D8">
    <cfRule type="cellIs" dxfId="1" priority="2" operator="lessThan">
      <formula>1000</formula>
    </cfRule>
  </conditionalFormatting>
  <dataValidations>
    <dataValidation type="list" allowBlank="1" showErrorMessage="1" sqref="E16:E27">
      <formula1>categorias!$A$2:$A$15</formula1>
    </dataValidation>
    <dataValidation type="list" allowBlank="1" showErrorMessage="1" sqref="F16:F27">
      <formula1>"SI,NO"</formula1>
    </dataValidation>
    <dataValidation type="list" allowBlank="1" showErrorMessage="1" sqref="D16:D27">
      <formula1>"Coordinador de proyecto,Investigador,Auxiliar de investigación I,Auxiliar de investigación II,Tester,Diseñador,Coordinador de Proyecto"</formula1>
    </dataValidation>
  </dataValidations>
  <printOptions/>
  <pageMargins bottom="0.75" footer="0.0" header="0.0" left="0.7" right="0.7" top="0.75"/>
  <pageSetup paperSize="9" scale="56" orientation="portrait"/>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2.63" defaultRowHeight="15.0"/>
  <cols>
    <col customWidth="1" min="1" max="1" width="7.25"/>
    <col customWidth="1" min="2" max="2" width="3.75"/>
    <col customWidth="1" min="3" max="3" width="9.25"/>
    <col customWidth="1" min="4" max="4" width="12.75"/>
    <col customWidth="1" min="5" max="5" width="6.75"/>
    <col customWidth="1" min="6" max="6" width="10.5"/>
    <col customWidth="1" min="7" max="7" width="12.25"/>
    <col customWidth="1" min="8" max="8" width="10.75"/>
    <col customWidth="1" min="9" max="9" width="7.5"/>
    <col customWidth="1" min="10" max="11" width="9.25"/>
    <col customWidth="1" min="12" max="12" width="11.5"/>
    <col customWidth="1" min="13" max="13" width="12.25"/>
    <col customWidth="1" min="14" max="14" width="21.0"/>
    <col customWidth="1" hidden="1" min="15" max="15" width="8.75"/>
    <col customWidth="1" min="16" max="16" width="26.5"/>
    <col customWidth="1" min="17" max="17" width="12.75"/>
    <col customWidth="1" min="18" max="19" width="11.25"/>
    <col customWidth="1" min="20" max="20" width="30.25"/>
    <col customWidth="1" min="21" max="21" width="11.25"/>
    <col customWidth="1" min="22" max="23" width="12.25"/>
  </cols>
  <sheetData>
    <row r="1" ht="12.75" customHeight="1">
      <c r="B1" s="24"/>
      <c r="C1" s="24"/>
      <c r="J1" s="39"/>
      <c r="Q1" s="40"/>
      <c r="R1" s="40"/>
      <c r="S1" s="40"/>
      <c r="T1" s="40"/>
      <c r="U1" s="40"/>
      <c r="V1" s="40"/>
      <c r="W1" s="40"/>
    </row>
    <row r="2" ht="12.75" customHeight="1">
      <c r="A2" s="41"/>
      <c r="B2" s="42"/>
      <c r="C2" s="42"/>
      <c r="D2" s="42"/>
      <c r="E2" s="42"/>
      <c r="F2" s="42"/>
      <c r="G2" s="42"/>
      <c r="H2" s="42"/>
      <c r="I2" s="42"/>
      <c r="J2" s="42"/>
      <c r="K2" s="42"/>
      <c r="L2" s="42"/>
      <c r="M2" s="42"/>
      <c r="N2" s="42"/>
      <c r="O2" s="42"/>
      <c r="P2" s="43"/>
      <c r="Q2" s="40" t="str">
        <f t="shared" ref="Q2:Q7" si="1">E7</f>
        <v>VisionOS: Monitoreo inteligente de microsueños y cuidados de la vision en jornadas laborales</v>
      </c>
      <c r="R2" s="40"/>
      <c r="S2" s="40"/>
      <c r="T2" s="40"/>
      <c r="U2" s="40"/>
      <c r="V2" s="40"/>
      <c r="W2" s="40"/>
    </row>
    <row r="3" ht="12.75" customHeight="1">
      <c r="A3" s="44"/>
      <c r="P3" s="45"/>
      <c r="Q3" s="40" t="str">
        <f t="shared" si="1"/>
        <v>Alan Pamal</v>
      </c>
      <c r="R3" s="40"/>
      <c r="S3" s="40"/>
      <c r="T3" s="40"/>
      <c r="U3" s="40"/>
      <c r="V3" s="40"/>
      <c r="W3" s="40"/>
    </row>
    <row r="4" ht="12.75" customHeight="1">
      <c r="A4" s="46"/>
      <c r="B4" s="47"/>
      <c r="C4" s="47"/>
      <c r="D4" s="47"/>
      <c r="E4" s="47"/>
      <c r="F4" s="47"/>
      <c r="G4" s="47"/>
      <c r="H4" s="47"/>
      <c r="I4" s="47"/>
      <c r="J4" s="47"/>
      <c r="K4" s="47"/>
      <c r="L4" s="47"/>
      <c r="M4" s="47"/>
      <c r="N4" s="47"/>
      <c r="O4" s="47"/>
      <c r="P4" s="48"/>
      <c r="Q4" s="40" t="str">
        <f t="shared" si="1"/>
        <v>Facultad de Ingeniería USAC</v>
      </c>
      <c r="R4" s="40"/>
      <c r="S4" s="40"/>
      <c r="T4" s="40"/>
      <c r="U4" s="40"/>
      <c r="V4" s="40"/>
      <c r="W4" s="40"/>
    </row>
    <row r="5" ht="12.75" customHeight="1">
      <c r="A5" s="46"/>
      <c r="B5" s="47"/>
      <c r="C5" s="47"/>
      <c r="D5" s="47"/>
      <c r="E5" s="47"/>
      <c r="F5" s="47"/>
      <c r="G5" s="47"/>
      <c r="H5" s="47"/>
      <c r="I5" s="47"/>
      <c r="J5" s="49"/>
      <c r="M5" s="47"/>
      <c r="N5" s="47"/>
      <c r="O5" s="47"/>
      <c r="P5" s="48"/>
      <c r="Q5" s="40" t="str">
        <f t="shared" si="1"/>
        <v>General</v>
      </c>
      <c r="R5" s="40"/>
      <c r="S5" s="40"/>
      <c r="T5" s="40" t="s">
        <v>43</v>
      </c>
      <c r="U5" s="40" t="s">
        <v>44</v>
      </c>
      <c r="V5" s="40"/>
      <c r="W5" s="40"/>
    </row>
    <row r="6" ht="12.75" customHeight="1">
      <c r="A6" s="46"/>
      <c r="B6" s="47"/>
      <c r="C6" s="47"/>
      <c r="D6" s="47"/>
      <c r="E6" s="47"/>
      <c r="F6" s="47"/>
      <c r="G6" s="47"/>
      <c r="H6" s="47"/>
      <c r="I6" s="47"/>
      <c r="J6" s="49"/>
      <c r="K6" s="49"/>
      <c r="L6" s="49"/>
      <c r="M6" s="47"/>
      <c r="N6" s="47"/>
      <c r="O6" s="47"/>
      <c r="P6" s="48"/>
      <c r="Q6" s="40" t="str">
        <f t="shared" si="1"/>
        <v>Desarrollo Experimental</v>
      </c>
      <c r="R6" s="40"/>
      <c r="S6" s="40"/>
      <c r="T6" s="40" t="s">
        <v>45</v>
      </c>
      <c r="U6" s="40" t="s">
        <v>46</v>
      </c>
      <c r="V6" s="40"/>
      <c r="W6" s="40"/>
    </row>
    <row r="7" ht="33.0" customHeight="1">
      <c r="A7" s="50" t="s">
        <v>47</v>
      </c>
      <c r="B7" s="5"/>
      <c r="C7" s="5"/>
      <c r="D7" s="6"/>
      <c r="E7" s="51" t="s">
        <v>48</v>
      </c>
      <c r="F7" s="5"/>
      <c r="G7" s="5"/>
      <c r="H7" s="5"/>
      <c r="I7" s="5"/>
      <c r="J7" s="5"/>
      <c r="K7" s="5"/>
      <c r="L7" s="5"/>
      <c r="M7" s="5"/>
      <c r="N7" s="6"/>
      <c r="O7" s="52"/>
      <c r="P7" s="53"/>
      <c r="Q7" s="40" t="str">
        <f t="shared" si="1"/>
        <v>Salud</v>
      </c>
      <c r="R7" s="40"/>
      <c r="S7" s="40" t="s">
        <v>49</v>
      </c>
      <c r="T7" s="40" t="s">
        <v>50</v>
      </c>
      <c r="U7" s="40" t="s">
        <v>51</v>
      </c>
      <c r="V7" s="40"/>
      <c r="W7" s="40"/>
    </row>
    <row r="8" ht="24.0" customHeight="1">
      <c r="A8" s="50" t="s">
        <v>52</v>
      </c>
      <c r="B8" s="5"/>
      <c r="C8" s="5"/>
      <c r="D8" s="6"/>
      <c r="E8" s="54" t="s">
        <v>53</v>
      </c>
      <c r="F8" s="5"/>
      <c r="G8" s="5"/>
      <c r="H8" s="5"/>
      <c r="I8" s="5"/>
      <c r="J8" s="5"/>
      <c r="K8" s="5"/>
      <c r="L8" s="6"/>
      <c r="M8" s="55" t="s">
        <v>54</v>
      </c>
      <c r="N8" s="6"/>
      <c r="O8" s="56"/>
      <c r="P8" s="57"/>
      <c r="Q8" s="40" t="str">
        <f t="shared" ref="Q8:Q9" si="2">#REF!</f>
        <v>#REF!</v>
      </c>
      <c r="R8" s="58">
        <v>44593.0</v>
      </c>
      <c r="S8" s="40" t="s">
        <v>55</v>
      </c>
      <c r="T8" s="40" t="s">
        <v>56</v>
      </c>
      <c r="U8" s="40" t="s">
        <v>51</v>
      </c>
      <c r="V8" s="40"/>
      <c r="W8" s="40"/>
    </row>
    <row r="9" ht="18.75" customHeight="1">
      <c r="A9" s="50" t="s">
        <v>57</v>
      </c>
      <c r="B9" s="5"/>
      <c r="C9" s="5"/>
      <c r="D9" s="6"/>
      <c r="E9" s="54" t="s">
        <v>58</v>
      </c>
      <c r="F9" s="5"/>
      <c r="G9" s="5"/>
      <c r="H9" s="5"/>
      <c r="I9" s="5"/>
      <c r="J9" s="5"/>
      <c r="K9" s="5"/>
      <c r="L9" s="6"/>
      <c r="M9" s="56"/>
      <c r="N9" s="56"/>
      <c r="O9" s="59"/>
      <c r="P9" s="57"/>
      <c r="Q9" s="60" t="str">
        <f t="shared" si="2"/>
        <v>#REF!</v>
      </c>
      <c r="R9" s="58">
        <v>44621.0</v>
      </c>
      <c r="S9" s="40"/>
      <c r="T9" s="40" t="s">
        <v>59</v>
      </c>
      <c r="U9" s="40" t="s">
        <v>46</v>
      </c>
      <c r="V9" s="40"/>
      <c r="W9" s="40"/>
    </row>
    <row r="10" ht="23.25" customHeight="1">
      <c r="A10" s="50" t="s">
        <v>60</v>
      </c>
      <c r="B10" s="5"/>
      <c r="C10" s="5"/>
      <c r="D10" s="6"/>
      <c r="E10" s="54" t="s">
        <v>49</v>
      </c>
      <c r="F10" s="5"/>
      <c r="G10" s="5"/>
      <c r="H10" s="5"/>
      <c r="I10" s="5"/>
      <c r="J10" s="5"/>
      <c r="K10" s="5"/>
      <c r="L10" s="6"/>
      <c r="M10" s="61"/>
      <c r="N10" s="62"/>
      <c r="O10" s="6"/>
      <c r="P10" s="63"/>
      <c r="Q10" s="40"/>
      <c r="R10" s="58">
        <v>44655.0</v>
      </c>
      <c r="S10" s="40"/>
      <c r="T10" s="40" t="s">
        <v>61</v>
      </c>
      <c r="U10" s="40" t="s">
        <v>62</v>
      </c>
      <c r="V10" s="40"/>
      <c r="W10" s="40"/>
    </row>
    <row r="11" ht="30.0" customHeight="1">
      <c r="A11" s="50" t="s">
        <v>63</v>
      </c>
      <c r="B11" s="5"/>
      <c r="C11" s="5"/>
      <c r="D11" s="6"/>
      <c r="E11" s="54" t="s">
        <v>64</v>
      </c>
      <c r="F11" s="5"/>
      <c r="G11" s="5"/>
      <c r="H11" s="5"/>
      <c r="I11" s="5"/>
      <c r="J11" s="5"/>
      <c r="K11" s="5"/>
      <c r="L11" s="6"/>
      <c r="M11" s="61"/>
      <c r="N11" s="62">
        <f>'Control de asignaciones'!B3</f>
        <v>400000</v>
      </c>
      <c r="O11" s="6"/>
      <c r="P11" s="63"/>
      <c r="Q11" s="40"/>
      <c r="R11" s="58">
        <v>44684.0</v>
      </c>
      <c r="S11" s="40"/>
      <c r="T11" s="40" t="s">
        <v>65</v>
      </c>
      <c r="U11" s="40" t="s">
        <v>62</v>
      </c>
      <c r="V11" s="40"/>
      <c r="W11" s="40"/>
    </row>
    <row r="12" ht="19.5" customHeight="1">
      <c r="A12" s="50" t="s">
        <v>66</v>
      </c>
      <c r="B12" s="5"/>
      <c r="C12" s="5"/>
      <c r="D12" s="6"/>
      <c r="E12" s="54" t="s">
        <v>67</v>
      </c>
      <c r="F12" s="5"/>
      <c r="G12" s="5"/>
      <c r="H12" s="5"/>
      <c r="I12" s="5"/>
      <c r="J12" s="5"/>
      <c r="K12" s="5"/>
      <c r="L12" s="6"/>
      <c r="P12" s="64"/>
      <c r="Q12" s="40"/>
      <c r="R12" s="58">
        <v>44718.0</v>
      </c>
      <c r="S12" s="40"/>
      <c r="T12" s="40" t="s">
        <v>68</v>
      </c>
      <c r="U12" s="40" t="s">
        <v>69</v>
      </c>
      <c r="V12" s="40"/>
      <c r="W12" s="40"/>
    </row>
    <row r="13" ht="12.75" customHeight="1">
      <c r="A13" s="65"/>
      <c r="B13" s="24"/>
      <c r="C13" s="24"/>
      <c r="J13" s="66"/>
      <c r="P13" s="64"/>
      <c r="Q13" s="40"/>
      <c r="R13" s="58">
        <v>44746.0</v>
      </c>
      <c r="S13" s="40"/>
      <c r="T13" s="40" t="s">
        <v>54</v>
      </c>
      <c r="U13" s="40" t="s">
        <v>69</v>
      </c>
      <c r="V13" s="40"/>
      <c r="W13" s="40"/>
    </row>
    <row r="14" ht="12.75" customHeight="1">
      <c r="A14" s="67"/>
      <c r="B14" s="68"/>
      <c r="C14" s="24"/>
      <c r="J14" s="39"/>
      <c r="P14" s="64"/>
      <c r="Q14" s="40"/>
      <c r="R14" s="58">
        <v>44774.0</v>
      </c>
      <c r="S14" s="40"/>
      <c r="T14" s="40" t="s">
        <v>70</v>
      </c>
      <c r="U14" s="40" t="s">
        <v>51</v>
      </c>
      <c r="V14" s="40"/>
      <c r="W14" s="40"/>
    </row>
    <row r="15" ht="12.75" customHeight="1">
      <c r="A15" s="65"/>
      <c r="B15" s="24"/>
      <c r="C15" s="24"/>
      <c r="P15" s="64"/>
      <c r="Q15" s="40"/>
      <c r="R15" s="58">
        <v>44809.0</v>
      </c>
      <c r="S15" s="40"/>
      <c r="T15" s="40" t="s">
        <v>71</v>
      </c>
      <c r="U15" s="40" t="s">
        <v>72</v>
      </c>
      <c r="V15" s="40"/>
      <c r="W15" s="40"/>
    </row>
    <row r="16" ht="30.0" customHeight="1">
      <c r="A16" s="69" t="s">
        <v>73</v>
      </c>
      <c r="B16" s="70" t="s">
        <v>74</v>
      </c>
      <c r="C16" s="71" t="s">
        <v>75</v>
      </c>
      <c r="D16" s="72" t="s">
        <v>76</v>
      </c>
      <c r="E16" s="5"/>
      <c r="F16" s="6"/>
      <c r="G16" s="71" t="s">
        <v>77</v>
      </c>
      <c r="H16" s="71" t="s">
        <v>78</v>
      </c>
      <c r="I16" s="71" t="s">
        <v>79</v>
      </c>
      <c r="J16" s="71" t="s">
        <v>80</v>
      </c>
      <c r="K16" s="71" t="s">
        <v>81</v>
      </c>
      <c r="L16" s="71" t="s">
        <v>82</v>
      </c>
      <c r="M16" s="71" t="s">
        <v>83</v>
      </c>
      <c r="N16" s="71" t="s">
        <v>84</v>
      </c>
      <c r="P16" s="64"/>
      <c r="Q16" s="40"/>
      <c r="R16" s="58"/>
      <c r="S16" s="40"/>
      <c r="T16" s="40" t="s">
        <v>85</v>
      </c>
      <c r="U16" s="40" t="s">
        <v>86</v>
      </c>
      <c r="V16" s="40"/>
      <c r="W16" s="40"/>
    </row>
    <row r="17" ht="12.75" customHeight="1">
      <c r="A17" s="73">
        <f>'Control de asignaciones'!A16</f>
        <v>1</v>
      </c>
      <c r="B17" s="74" t="str">
        <f t="shared" ref="B17:B23" si="3">IF(A17&gt;0,"A","")</f>
        <v>A</v>
      </c>
      <c r="C17" s="75">
        <v>0.0</v>
      </c>
      <c r="D17" s="76" t="s">
        <v>23</v>
      </c>
      <c r="E17" s="5"/>
      <c r="F17" s="6"/>
      <c r="G17" s="77" t="str">
        <f>'Control de asignaciones'!E16</f>
        <v>Titular I</v>
      </c>
      <c r="H17" s="78">
        <f>IF(G17&gt;0,VLOOKUP(G17,puestos,2,0),"")</f>
        <v>1461</v>
      </c>
      <c r="I17" s="79">
        <f>'Control de asignaciones'!G16</f>
        <v>4</v>
      </c>
      <c r="J17" s="80">
        <v>45779.0</v>
      </c>
      <c r="K17" s="80">
        <v>45930.0</v>
      </c>
      <c r="L17" s="81">
        <f t="shared" ref="L17:L23" si="4">IF(K17&gt;0,MONTH(K17-J17),"")</f>
        <v>5</v>
      </c>
      <c r="M17" s="82">
        <v>5200.0</v>
      </c>
      <c r="N17" s="83">
        <f t="shared" ref="N17:N23" si="5">IF(A17&gt;0,M17*L17,"")</f>
        <v>26000</v>
      </c>
      <c r="O17" s="84" t="str">
        <f>'Control de asignaciones'!F16</f>
        <v>NO</v>
      </c>
      <c r="P17" s="85" t="str">
        <f t="shared" ref="P17:P32" si="6">IF(D17="investigador","¿Estudiante de postgrado?","")</f>
        <v>¿Estudiante de postgrado?</v>
      </c>
      <c r="Q17" s="86">
        <f>IF('Control de asignaciones'!A16&gt;0,_xlfn.CEILING.MATH(N17*0.100278),"")</f>
        <v>2608</v>
      </c>
      <c r="R17" s="60">
        <f>IF('Control de asignaciones'!A16&gt;0,_xlfn.CEILING.MATH(N17*0.100278),"")</f>
        <v>2608</v>
      </c>
      <c r="S17" s="60">
        <f>IF('Control de asignaciones'!A16&gt;0,_xlfn.CEILING.MATH(N17*0.203333),"")</f>
        <v>5287</v>
      </c>
      <c r="T17" s="87">
        <f>IF('Control de asignaciones'!A16&gt;0,L17*I17*137.5,"")</f>
        <v>2750</v>
      </c>
      <c r="U17" s="60">
        <f>IF('Control de asignaciones'!A16&gt;0,_xlfn.CEILING.MATH(N17*0.3378),"")</f>
        <v>8783</v>
      </c>
      <c r="V17" s="60">
        <f t="shared" ref="V17:V32" si="7">SUM(N17,Q17,R17,S17,T17,U17)</f>
        <v>48036</v>
      </c>
      <c r="W17" s="40"/>
    </row>
    <row r="18" ht="15.0" customHeight="1">
      <c r="A18" s="73">
        <f>'Control de asignaciones'!A17</f>
        <v>2</v>
      </c>
      <c r="B18" s="74" t="str">
        <f t="shared" si="3"/>
        <v>A</v>
      </c>
      <c r="C18" s="75">
        <v>1.0</v>
      </c>
      <c r="D18" s="88" t="str">
        <f>'Control de asignaciones'!D17</f>
        <v>Investigador</v>
      </c>
      <c r="E18" s="5"/>
      <c r="F18" s="6"/>
      <c r="G18" s="77" t="str">
        <f>'Control de asignaciones'!E17</f>
        <v>Titular II</v>
      </c>
      <c r="H18" s="78">
        <f>IF(G18&gt;0,VLOOKUP(G18,puestos,2,0),"")</f>
        <v>1607</v>
      </c>
      <c r="I18" s="89">
        <v>3.0</v>
      </c>
      <c r="J18" s="80">
        <v>45779.0</v>
      </c>
      <c r="K18" s="80">
        <v>45930.0</v>
      </c>
      <c r="L18" s="81">
        <f t="shared" si="4"/>
        <v>5</v>
      </c>
      <c r="M18" s="82">
        <v>4200.0</v>
      </c>
      <c r="N18" s="83">
        <f t="shared" si="5"/>
        <v>21000</v>
      </c>
      <c r="O18" s="84" t="str">
        <f>'Control de asignaciones'!F17</f>
        <v>SI</v>
      </c>
      <c r="P18" s="85" t="str">
        <f t="shared" si="6"/>
        <v>¿Estudiante de postgrado?</v>
      </c>
      <c r="Q18" s="86">
        <f>IF('Control de asignaciones'!A17&gt;0,_xlfn.CEILING.MATH(N18*0.100278),"")</f>
        <v>2106</v>
      </c>
      <c r="R18" s="60">
        <f>IF('Control de asignaciones'!A17&gt;0,_xlfn.CEILING.MATH(N18*0.100278),"")</f>
        <v>2106</v>
      </c>
      <c r="S18" s="60">
        <f>IF('Control de asignaciones'!A17&gt;0,_xlfn.CEILING.MATH(N18*0.203333),"")</f>
        <v>4270</v>
      </c>
      <c r="T18" s="60">
        <f>IF('Control de asignaciones'!A17&gt;0,L18*I18*137.5,"")</f>
        <v>2062.5</v>
      </c>
      <c r="U18" s="60">
        <f>IF('Control de asignaciones'!A17&gt;0,_xlfn.CEILING.MATH(N18*0.3378),"")</f>
        <v>7094</v>
      </c>
      <c r="V18" s="60">
        <f t="shared" si="7"/>
        <v>38638.5</v>
      </c>
      <c r="W18" s="60">
        <f>SUM(V17:V18)</f>
        <v>86674.5</v>
      </c>
    </row>
    <row r="19" ht="12.75" customHeight="1">
      <c r="A19" s="73">
        <f>'Control de asignaciones'!A18</f>
        <v>3</v>
      </c>
      <c r="B19" s="74" t="str">
        <f t="shared" si="3"/>
        <v>A</v>
      </c>
      <c r="C19" s="75">
        <v>2.0</v>
      </c>
      <c r="D19" s="76" t="s">
        <v>87</v>
      </c>
      <c r="E19" s="5"/>
      <c r="F19" s="6"/>
      <c r="G19" s="77" t="str">
        <f>'Control de asignaciones'!E18</f>
        <v>Titular III</v>
      </c>
      <c r="H19" s="78">
        <f>IF(G19&gt;0,VLOOKUP(G19,puestos,2,0),"")</f>
        <v>1768</v>
      </c>
      <c r="I19" s="79">
        <f>'Control de asignaciones'!G18</f>
        <v>2</v>
      </c>
      <c r="J19" s="80">
        <v>45779.0</v>
      </c>
      <c r="K19" s="80">
        <v>45930.0</v>
      </c>
      <c r="L19" s="81">
        <f t="shared" si="4"/>
        <v>5</v>
      </c>
      <c r="M19" s="82">
        <v>3000.0</v>
      </c>
      <c r="N19" s="83">
        <f t="shared" si="5"/>
        <v>15000</v>
      </c>
      <c r="O19" s="84" t="str">
        <f>'Control de asignaciones'!F18</f>
        <v>SI</v>
      </c>
      <c r="P19" s="85" t="str">
        <f t="shared" si="6"/>
        <v/>
      </c>
      <c r="Q19" s="86">
        <f>IF('Control de asignaciones'!A18&gt;0,_xlfn.CEILING.MATH(N19*0.100278),"")</f>
        <v>1505</v>
      </c>
      <c r="R19" s="60">
        <f>IF('Control de asignaciones'!A18&gt;0,_xlfn.CEILING.MATH(N19*0.100278),"")</f>
        <v>1505</v>
      </c>
      <c r="S19" s="60">
        <f>IF('Control de asignaciones'!A18&gt;0,_xlfn.CEILING.MATH(N19*0.203333),"")</f>
        <v>3050</v>
      </c>
      <c r="T19" s="60">
        <f>IF('Control de asignaciones'!A18&gt;0,L19*I19*137.5,"")</f>
        <v>1375</v>
      </c>
      <c r="U19" s="60">
        <f>IF('Control de asignaciones'!A18&gt;0,_xlfn.CEILING.MATH(N19*0.3378),"")</f>
        <v>5067</v>
      </c>
      <c r="V19" s="60">
        <f t="shared" si="7"/>
        <v>27502</v>
      </c>
      <c r="W19" s="40"/>
    </row>
    <row r="20" ht="12.75" customHeight="1">
      <c r="A20" s="73">
        <f>'Control de asignaciones'!A19</f>
        <v>4</v>
      </c>
      <c r="B20" s="74" t="str">
        <f t="shared" si="3"/>
        <v>A</v>
      </c>
      <c r="C20" s="75">
        <v>3.0</v>
      </c>
      <c r="D20" s="76" t="s">
        <v>88</v>
      </c>
      <c r="E20" s="5"/>
      <c r="F20" s="6"/>
      <c r="G20" s="77" t="str">
        <f>'Control de asignaciones'!E19</f>
        <v>Auxiliar II </v>
      </c>
      <c r="H20" s="78">
        <f>IF(G20&gt;0,VLOOKUP(G20,puestos,2,0),"")</f>
        <v>972</v>
      </c>
      <c r="I20" s="89">
        <v>2.0</v>
      </c>
      <c r="J20" s="80">
        <v>45779.0</v>
      </c>
      <c r="K20" s="80">
        <v>45930.0</v>
      </c>
      <c r="L20" s="81">
        <f t="shared" si="4"/>
        <v>5</v>
      </c>
      <c r="M20" s="82">
        <v>1900.0</v>
      </c>
      <c r="N20" s="83">
        <f t="shared" si="5"/>
        <v>9500</v>
      </c>
      <c r="O20" s="84" t="str">
        <f>'Control de asignaciones'!F19</f>
        <v>SI</v>
      </c>
      <c r="P20" s="85" t="str">
        <f t="shared" si="6"/>
        <v/>
      </c>
      <c r="Q20" s="86">
        <f>IF('Control de asignaciones'!A19&gt;0,_xlfn.CEILING.MATH(N20*0.100278),"")</f>
        <v>953</v>
      </c>
      <c r="R20" s="60">
        <f>IF('Control de asignaciones'!A19&gt;0,_xlfn.CEILING.MATH(N20*0.100278),"")</f>
        <v>953</v>
      </c>
      <c r="S20" s="60">
        <f>IF('Control de asignaciones'!A19&gt;0,_xlfn.CEILING.MATH(N20*0.203333),"")</f>
        <v>1932</v>
      </c>
      <c r="T20" s="60">
        <f>IF('Control de asignaciones'!A19&gt;0,L20*I20*137.5,"")</f>
        <v>1375</v>
      </c>
      <c r="U20" s="60">
        <f>IF('Control de asignaciones'!A19&gt;0,_xlfn.CEILING.MATH(N20*0.3378),"")</f>
        <v>3210</v>
      </c>
      <c r="V20" s="60">
        <f t="shared" si="7"/>
        <v>17923</v>
      </c>
      <c r="W20" s="40"/>
    </row>
    <row r="21" ht="12.75" customHeight="1">
      <c r="A21" s="90">
        <v>5.0</v>
      </c>
      <c r="B21" s="74" t="str">
        <f t="shared" si="3"/>
        <v>A</v>
      </c>
      <c r="C21" s="75">
        <v>21.0</v>
      </c>
      <c r="D21" s="76" t="s">
        <v>36</v>
      </c>
      <c r="E21" s="5"/>
      <c r="F21" s="6"/>
      <c r="G21" s="75" t="s">
        <v>37</v>
      </c>
      <c r="H21" s="78">
        <f>IF(G21&gt;0,VLOOKUP(G21,puestos,2,0),"")</f>
        <v>1945</v>
      </c>
      <c r="I21" s="89">
        <v>4.0</v>
      </c>
      <c r="J21" s="80">
        <v>45779.0</v>
      </c>
      <c r="K21" s="80">
        <v>45930.0</v>
      </c>
      <c r="L21" s="81">
        <f t="shared" si="4"/>
        <v>5</v>
      </c>
      <c r="M21" s="82">
        <v>4400.0</v>
      </c>
      <c r="N21" s="83">
        <f t="shared" si="5"/>
        <v>22000</v>
      </c>
      <c r="O21" s="84" t="str">
        <f>'Control de asignaciones'!F20</f>
        <v>NO</v>
      </c>
      <c r="P21" s="85" t="str">
        <f t="shared" si="6"/>
        <v/>
      </c>
      <c r="Q21" s="86">
        <f>IF('Control de asignaciones'!A20&gt;0,_xlfn.CEILING.MATH(N21*0.100278),"")</f>
        <v>2207</v>
      </c>
      <c r="R21" s="60">
        <f>IF('Control de asignaciones'!A20&gt;0,_xlfn.CEILING.MATH(N21*0.100278),"")</f>
        <v>2207</v>
      </c>
      <c r="S21" s="60">
        <f>IF('Control de asignaciones'!A20&gt;0,_xlfn.CEILING.MATH(N21*0.203333),"")</f>
        <v>4474</v>
      </c>
      <c r="T21" s="60">
        <f>IF('Control de asignaciones'!A20&gt;0,L21*I21*137.5,"")</f>
        <v>2750</v>
      </c>
      <c r="U21" s="60">
        <f>IF('Control de asignaciones'!A20&gt;0,_xlfn.CEILING.MATH(N21*0.3378),"")</f>
        <v>7432</v>
      </c>
      <c r="V21" s="60">
        <f t="shared" si="7"/>
        <v>41070</v>
      </c>
      <c r="W21" s="40"/>
    </row>
    <row r="22" ht="12.75" customHeight="1">
      <c r="A22" s="90">
        <v>7.0</v>
      </c>
      <c r="B22" s="74" t="str">
        <f t="shared" si="3"/>
        <v>A</v>
      </c>
      <c r="C22" s="75">
        <v>101.0</v>
      </c>
      <c r="D22" s="76" t="s">
        <v>39</v>
      </c>
      <c r="E22" s="5"/>
      <c r="F22" s="6"/>
      <c r="G22" s="75" t="s">
        <v>89</v>
      </c>
      <c r="H22" s="78">
        <f>IF(G22&gt;0,VLOOKUP(G22,puestos,2,0),"")</f>
        <v>2140</v>
      </c>
      <c r="I22" s="89">
        <v>4.0</v>
      </c>
      <c r="J22" s="80">
        <v>45779.0</v>
      </c>
      <c r="K22" s="80">
        <v>45930.0</v>
      </c>
      <c r="L22" s="81">
        <f t="shared" si="4"/>
        <v>5</v>
      </c>
      <c r="M22" s="82">
        <v>3800.0</v>
      </c>
      <c r="N22" s="83">
        <f t="shared" si="5"/>
        <v>19000</v>
      </c>
      <c r="O22" s="84" t="str">
        <f>'Control de asignaciones'!F21</f>
        <v>SI</v>
      </c>
      <c r="P22" s="85" t="str">
        <f t="shared" si="6"/>
        <v/>
      </c>
      <c r="Q22" s="86">
        <f>IF('Control de asignaciones'!A21&gt;0,_xlfn.CEILING.MATH(N22*0.100278),"")</f>
        <v>1906</v>
      </c>
      <c r="R22" s="60">
        <f>IF('Control de asignaciones'!A21&gt;0,_xlfn.CEILING.MATH(N22*0.100278),"")</f>
        <v>1906</v>
      </c>
      <c r="S22" s="60">
        <f>IF('Control de asignaciones'!A21&gt;0,_xlfn.CEILING.MATH(N22*0.203333),"")</f>
        <v>3864</v>
      </c>
      <c r="T22" s="60">
        <f>IF('Control de asignaciones'!A21&gt;0,L22*I22*137.5,"")</f>
        <v>2750</v>
      </c>
      <c r="U22" s="60">
        <f>IF('Control de asignaciones'!A21&gt;0,_xlfn.CEILING.MATH(N22*0.3378),"")</f>
        <v>6419</v>
      </c>
      <c r="V22" s="60">
        <f t="shared" si="7"/>
        <v>35845</v>
      </c>
      <c r="W22" s="40"/>
    </row>
    <row r="23" ht="12.75" customHeight="1">
      <c r="A23" s="90">
        <v>9.0</v>
      </c>
      <c r="B23" s="74" t="str">
        <f t="shared" si="3"/>
        <v>A</v>
      </c>
      <c r="C23" s="74">
        <f>IF(D23&gt;0,999994,"")</f>
        <v>999994</v>
      </c>
      <c r="D23" s="76" t="s">
        <v>41</v>
      </c>
      <c r="E23" s="5"/>
      <c r="F23" s="6"/>
      <c r="G23" s="75" t="s">
        <v>42</v>
      </c>
      <c r="H23" s="78">
        <f>IF(G23&gt;0,VLOOKUP(G23,puestos,2,0),"")</f>
        <v>3446</v>
      </c>
      <c r="I23" s="89">
        <v>6.0</v>
      </c>
      <c r="J23" s="80">
        <v>45779.0</v>
      </c>
      <c r="K23" s="80">
        <v>45930.0</v>
      </c>
      <c r="L23" s="81">
        <f t="shared" si="4"/>
        <v>5</v>
      </c>
      <c r="M23" s="82">
        <v>10000.0</v>
      </c>
      <c r="N23" s="83">
        <f t="shared" si="5"/>
        <v>50000</v>
      </c>
      <c r="O23" s="84" t="str">
        <f>'Control de asignaciones'!F22</f>
        <v>NO</v>
      </c>
      <c r="P23" s="85" t="str">
        <f t="shared" si="6"/>
        <v/>
      </c>
      <c r="Q23" s="86">
        <f>IF('Control de asignaciones'!A22&gt;0,_xlfn.CEILING.MATH(N23*0.100278),"")</f>
        <v>5014</v>
      </c>
      <c r="R23" s="60">
        <f>IF('Control de asignaciones'!A22&gt;0,_xlfn.CEILING.MATH(N23*0.100278),"")</f>
        <v>5014</v>
      </c>
      <c r="S23" s="60">
        <f>IF('Control de asignaciones'!A22&gt;0,_xlfn.CEILING.MATH(N23*0.203333),"")</f>
        <v>10167</v>
      </c>
      <c r="T23" s="60">
        <f>IF('Control de asignaciones'!A22&gt;0,L23*I23*137.5,"")</f>
        <v>4125</v>
      </c>
      <c r="U23" s="60">
        <f>IF('Control de asignaciones'!A22&gt;0,_xlfn.CEILING.MATH(N23*0.3378),"")</f>
        <v>16890</v>
      </c>
      <c r="V23" s="60">
        <f t="shared" si="7"/>
        <v>91210</v>
      </c>
      <c r="W23" s="40"/>
    </row>
    <row r="24" ht="12.75" customHeight="1">
      <c r="A24" s="90"/>
      <c r="B24" s="74"/>
      <c r="C24" s="75"/>
      <c r="D24" s="76"/>
      <c r="E24" s="5"/>
      <c r="F24" s="6"/>
      <c r="G24" s="75"/>
      <c r="H24" s="78"/>
      <c r="I24" s="89"/>
      <c r="J24" s="80"/>
      <c r="K24" s="80"/>
      <c r="L24" s="81"/>
      <c r="M24" s="82"/>
      <c r="N24" s="83"/>
      <c r="O24" s="84" t="str">
        <f>'Control de asignaciones'!F23</f>
        <v/>
      </c>
      <c r="P24" s="85" t="str">
        <f t="shared" si="6"/>
        <v/>
      </c>
      <c r="Q24" s="86" t="str">
        <f>IF('Control de asignaciones'!A23&gt;0,_xlfn.CEILING.MATH(N24*0.100278),"")</f>
        <v/>
      </c>
      <c r="R24" s="60" t="str">
        <f>IF('Control de asignaciones'!A23&gt;0,_xlfn.CEILING.MATH(N24*0.100278),"")</f>
        <v/>
      </c>
      <c r="S24" s="60" t="str">
        <f>IF('Control de asignaciones'!A23&gt;0,_xlfn.CEILING.MATH(N24*0.203333),"")</f>
        <v/>
      </c>
      <c r="T24" s="60" t="str">
        <f>IF('Control de asignaciones'!A23&gt;0,L24*I24*137.5,"")</f>
        <v/>
      </c>
      <c r="U24" s="60" t="str">
        <f>IF('Control de asignaciones'!A23&gt;0,_xlfn.CEILING.MATH(N24*0.3378),"")</f>
        <v/>
      </c>
      <c r="V24" s="60">
        <f t="shared" si="7"/>
        <v>0</v>
      </c>
      <c r="W24" s="40"/>
    </row>
    <row r="25" ht="12.75" customHeight="1">
      <c r="A25" s="90"/>
      <c r="B25" s="74"/>
      <c r="C25" s="74"/>
      <c r="D25" s="76"/>
      <c r="E25" s="5"/>
      <c r="F25" s="6"/>
      <c r="G25" s="75"/>
      <c r="H25" s="78"/>
      <c r="I25" s="89"/>
      <c r="J25" s="80"/>
      <c r="K25" s="80"/>
      <c r="L25" s="81"/>
      <c r="M25" s="82"/>
      <c r="N25" s="83"/>
      <c r="O25" s="84" t="str">
        <f>'Control de asignaciones'!F24</f>
        <v/>
      </c>
      <c r="P25" s="85" t="str">
        <f t="shared" si="6"/>
        <v/>
      </c>
      <c r="Q25" s="86" t="str">
        <f>IF('Control de asignaciones'!A24&gt;0,_xlfn.CEILING.MATH(N25*0.100278),"")</f>
        <v/>
      </c>
      <c r="R25" s="60" t="str">
        <f>IF('Control de asignaciones'!A24&gt;0,_xlfn.CEILING.MATH(N25*0.100278),"")</f>
        <v/>
      </c>
      <c r="S25" s="60" t="str">
        <f>IF('Control de asignaciones'!A24&gt;0,_xlfn.CEILING.MATH(N25*0.203333),"")</f>
        <v/>
      </c>
      <c r="T25" s="60" t="str">
        <f>IF('Control de asignaciones'!A24&gt;0,L25*I25*137.5,"")</f>
        <v/>
      </c>
      <c r="U25" s="60" t="str">
        <f>IF('Control de asignaciones'!A24&gt;0,_xlfn.CEILING.MATH(N25*0.3378),"")</f>
        <v/>
      </c>
      <c r="V25" s="60">
        <f t="shared" si="7"/>
        <v>0</v>
      </c>
      <c r="W25" s="40"/>
    </row>
    <row r="26" ht="12.75" customHeight="1">
      <c r="A26" s="90"/>
      <c r="B26" s="74"/>
      <c r="C26" s="74" t="str">
        <f>IF(D26&gt;0,999994,"")</f>
        <v/>
      </c>
      <c r="D26" s="76"/>
      <c r="E26" s="5"/>
      <c r="F26" s="6"/>
      <c r="G26" s="77" t="str">
        <f>'Control de asignaciones'!E25</f>
        <v/>
      </c>
      <c r="H26" s="78" t="str">
        <f>IF(G26&gt;0,VLOOKUP(G26,puestos,2,0),"")</f>
        <v/>
      </c>
      <c r="I26" s="79" t="str">
        <f>'Control de asignaciones'!G25</f>
        <v/>
      </c>
      <c r="J26" s="91" t="str">
        <f>'Control de asignaciones'!H25</f>
        <v/>
      </c>
      <c r="K26" s="91" t="str">
        <f>'Control de asignaciones'!I25</f>
        <v/>
      </c>
      <c r="L26" s="81" t="str">
        <f t="shared" ref="L26:L33" si="8">IF(K26&gt;0,MONTH(K26-J26),"")</f>
        <v/>
      </c>
      <c r="M26" s="83" t="str">
        <f t="shared" ref="M26:M33" si="9">IF(G26&gt;0,H26*I26,"")</f>
        <v/>
      </c>
      <c r="N26" s="83" t="str">
        <f t="shared" ref="N26:N33" si="10">IF(A26&gt;0,M26*L26,"")</f>
        <v/>
      </c>
      <c r="O26" s="84" t="str">
        <f>'Control de asignaciones'!F25</f>
        <v/>
      </c>
      <c r="P26" s="85" t="str">
        <f t="shared" si="6"/>
        <v/>
      </c>
      <c r="Q26" s="86" t="str">
        <f>IF('Control de asignaciones'!A25&gt;0,_xlfn.CEILING.MATH(N26*0.100278),"")</f>
        <v/>
      </c>
      <c r="R26" s="60" t="str">
        <f>IF('Control de asignaciones'!A25&gt;0,_xlfn.CEILING.MATH(N26*0.100278),"")</f>
        <v/>
      </c>
      <c r="S26" s="60" t="str">
        <f>IF('Control de asignaciones'!A25&gt;0,_xlfn.CEILING.MATH(N26*0.203333),"")</f>
        <v/>
      </c>
      <c r="T26" s="60" t="str">
        <f>IF('Control de asignaciones'!A25&gt;0,L26*I26*137.5,"")</f>
        <v/>
      </c>
      <c r="U26" s="60" t="str">
        <f>IF('Control de asignaciones'!A25&gt;0,_xlfn.CEILING.MATH(N26*0.3378),"")</f>
        <v/>
      </c>
      <c r="V26" s="60">
        <f t="shared" si="7"/>
        <v>0</v>
      </c>
      <c r="W26" s="40"/>
    </row>
    <row r="27" ht="12.75" customHeight="1">
      <c r="A27" s="73"/>
      <c r="B27" s="74"/>
      <c r="C27" s="74"/>
      <c r="D27" s="92"/>
      <c r="E27" s="5"/>
      <c r="F27" s="6"/>
      <c r="G27" s="91"/>
      <c r="H27" s="78" t="str">
        <f>IF(G27&gt;0,VLOOKUP(G27,puestos,2,0),"")</f>
        <v/>
      </c>
      <c r="I27" s="93"/>
      <c r="J27" s="91"/>
      <c r="K27" s="91"/>
      <c r="L27" s="81" t="str">
        <f t="shared" si="8"/>
        <v/>
      </c>
      <c r="M27" s="83" t="str">
        <f t="shared" si="9"/>
        <v/>
      </c>
      <c r="N27" s="83" t="str">
        <f t="shared" si="10"/>
        <v/>
      </c>
      <c r="O27" s="84"/>
      <c r="P27" s="85" t="str">
        <f t="shared" si="6"/>
        <v/>
      </c>
      <c r="Q27" s="86" t="str">
        <f>IF('Control de asignaciones'!A26&gt;0,_xlfn.CEILING.MATH(N27*0.100278),"")</f>
        <v/>
      </c>
      <c r="R27" s="60" t="str">
        <f>IF('Control de asignaciones'!A26&gt;0,_xlfn.CEILING.MATH(N27*0.100278),"")</f>
        <v/>
      </c>
      <c r="S27" s="60" t="str">
        <f>IF('Control de asignaciones'!A26&gt;0,_xlfn.CEILING.MATH(N27*0.203333),"")</f>
        <v/>
      </c>
      <c r="T27" s="60" t="str">
        <f>IF('Control de asignaciones'!A26&gt;0,L27*I27*137.5,"")</f>
        <v/>
      </c>
      <c r="U27" s="60" t="str">
        <f>IF('Control de asignaciones'!A26&gt;0,_xlfn.CEILING.MATH(N27*0.3378),"")</f>
        <v/>
      </c>
      <c r="V27" s="60">
        <f t="shared" si="7"/>
        <v>0</v>
      </c>
      <c r="W27" s="40"/>
    </row>
    <row r="28" ht="12.75" customHeight="1">
      <c r="A28" s="73"/>
      <c r="B28" s="74"/>
      <c r="C28" s="74"/>
      <c r="D28" s="92"/>
      <c r="E28" s="5"/>
      <c r="F28" s="6"/>
      <c r="G28" s="91"/>
      <c r="H28" s="78" t="str">
        <f>IF(G28&gt;0,VLOOKUP(G28,puestos,2,0),"")</f>
        <v/>
      </c>
      <c r="I28" s="93"/>
      <c r="J28" s="91"/>
      <c r="K28" s="91"/>
      <c r="L28" s="81" t="str">
        <f t="shared" si="8"/>
        <v/>
      </c>
      <c r="M28" s="83" t="str">
        <f t="shared" si="9"/>
        <v/>
      </c>
      <c r="N28" s="83" t="str">
        <f t="shared" si="10"/>
        <v/>
      </c>
      <c r="O28" s="84"/>
      <c r="P28" s="85" t="str">
        <f t="shared" si="6"/>
        <v/>
      </c>
      <c r="Q28" s="86" t="str">
        <f>IF('Control de asignaciones'!A27&gt;0,_xlfn.CEILING.MATH(N28*0.100278),"")</f>
        <v/>
      </c>
      <c r="R28" s="60" t="str">
        <f>IF('Control de asignaciones'!A27&gt;0,_xlfn.CEILING.MATH(N28*0.100278),"")</f>
        <v/>
      </c>
      <c r="S28" s="60" t="str">
        <f>IF('Control de asignaciones'!A27&gt;0,_xlfn.CEILING.MATH(N28*0.203333),"")</f>
        <v/>
      </c>
      <c r="T28" s="60" t="str">
        <f>IF('Control de asignaciones'!A27&gt;0,L28*I28*137.5,"")</f>
        <v/>
      </c>
      <c r="U28" s="60" t="str">
        <f>IF('Control de asignaciones'!A27&gt;0,_xlfn.CEILING.MATH(N28*0.3378),"")</f>
        <v/>
      </c>
      <c r="V28" s="60">
        <f t="shared" si="7"/>
        <v>0</v>
      </c>
      <c r="W28" s="40"/>
    </row>
    <row r="29" ht="12.75" customHeight="1">
      <c r="A29" s="73"/>
      <c r="B29" s="74"/>
      <c r="C29" s="74"/>
      <c r="D29" s="92"/>
      <c r="E29" s="5"/>
      <c r="F29" s="6"/>
      <c r="G29" s="91"/>
      <c r="H29" s="78" t="str">
        <f>IF(G29&gt;0,VLOOKUP(G29,puestos,2,0),"")</f>
        <v/>
      </c>
      <c r="I29" s="93"/>
      <c r="J29" s="91"/>
      <c r="K29" s="91"/>
      <c r="L29" s="81" t="str">
        <f t="shared" si="8"/>
        <v/>
      </c>
      <c r="M29" s="83" t="str">
        <f t="shared" si="9"/>
        <v/>
      </c>
      <c r="N29" s="83" t="str">
        <f t="shared" si="10"/>
        <v/>
      </c>
      <c r="O29" s="84"/>
      <c r="P29" s="85" t="str">
        <f t="shared" si="6"/>
        <v/>
      </c>
      <c r="Q29" s="86" t="str">
        <f>IF('Control de asignaciones'!A28&gt;0,_xlfn.CEILING.MATH(N29*0.100278),"")</f>
        <v/>
      </c>
      <c r="R29" s="60" t="str">
        <f>IF('Control de asignaciones'!A28&gt;0,_xlfn.CEILING.MATH(N29*0.100278),"")</f>
        <v/>
      </c>
      <c r="S29" s="60" t="str">
        <f>IF('Control de asignaciones'!A28&gt;0,_xlfn.CEILING.MATH(N29*0.203333),"")</f>
        <v/>
      </c>
      <c r="T29" s="60" t="str">
        <f>IF('Control de asignaciones'!A28&gt;0,L29*I29*137.5,"")</f>
        <v/>
      </c>
      <c r="U29" s="60" t="str">
        <f>IF('Control de asignaciones'!A28&gt;0,_xlfn.CEILING.MATH(N29*0.3378),"")</f>
        <v/>
      </c>
      <c r="V29" s="60">
        <f t="shared" si="7"/>
        <v>0</v>
      </c>
      <c r="W29" s="40"/>
    </row>
    <row r="30" ht="12.75" customHeight="1">
      <c r="A30" s="73"/>
      <c r="B30" s="74"/>
      <c r="C30" s="74"/>
      <c r="D30" s="92"/>
      <c r="E30" s="5"/>
      <c r="F30" s="6"/>
      <c r="G30" s="91"/>
      <c r="H30" s="78" t="str">
        <f>IF(G30&gt;0,VLOOKUP(G30,puestos,2,0),"")</f>
        <v/>
      </c>
      <c r="I30" s="93"/>
      <c r="J30" s="91"/>
      <c r="K30" s="91"/>
      <c r="L30" s="81" t="str">
        <f t="shared" si="8"/>
        <v/>
      </c>
      <c r="M30" s="83" t="str">
        <f t="shared" si="9"/>
        <v/>
      </c>
      <c r="N30" s="83" t="str">
        <f t="shared" si="10"/>
        <v/>
      </c>
      <c r="O30" s="84"/>
      <c r="P30" s="85" t="str">
        <f t="shared" si="6"/>
        <v/>
      </c>
      <c r="Q30" s="86" t="str">
        <f>IF('Control de asignaciones'!A29&gt;0,_xlfn.CEILING.MATH(N30*0.100278),"")</f>
        <v/>
      </c>
      <c r="R30" s="60" t="str">
        <f>IF('Control de asignaciones'!A29&gt;0,_xlfn.CEILING.MATH(N30*0.100278),"")</f>
        <v/>
      </c>
      <c r="S30" s="60" t="str">
        <f>IF('Control de asignaciones'!A29&gt;0,_xlfn.CEILING.MATH(N30*0.203333),"")</f>
        <v/>
      </c>
      <c r="T30" s="60" t="str">
        <f>IF('Control de asignaciones'!A29&gt;0,L30*I30*137.5,"")</f>
        <v/>
      </c>
      <c r="U30" s="60" t="str">
        <f>IF('Control de asignaciones'!A29&gt;0,_xlfn.CEILING.MATH(N30*0.3378),"")</f>
        <v/>
      </c>
      <c r="V30" s="60">
        <f t="shared" si="7"/>
        <v>0</v>
      </c>
      <c r="W30" s="40"/>
    </row>
    <row r="31" ht="12.75" customHeight="1">
      <c r="A31" s="73"/>
      <c r="B31" s="74"/>
      <c r="C31" s="74"/>
      <c r="D31" s="92"/>
      <c r="E31" s="5"/>
      <c r="F31" s="6"/>
      <c r="G31" s="91"/>
      <c r="H31" s="78" t="str">
        <f>IF(G31&gt;0,VLOOKUP(G31,puestos,2,0),"")</f>
        <v/>
      </c>
      <c r="I31" s="93"/>
      <c r="J31" s="91"/>
      <c r="K31" s="91"/>
      <c r="L31" s="81" t="str">
        <f t="shared" si="8"/>
        <v/>
      </c>
      <c r="M31" s="83" t="str">
        <f t="shared" si="9"/>
        <v/>
      </c>
      <c r="N31" s="83" t="str">
        <f t="shared" si="10"/>
        <v/>
      </c>
      <c r="O31" s="84"/>
      <c r="P31" s="85" t="str">
        <f t="shared" si="6"/>
        <v/>
      </c>
      <c r="Q31" s="86" t="str">
        <f>IF('Control de asignaciones'!A30&gt;0,_xlfn.CEILING.MATH(N31*0.100278),"")</f>
        <v/>
      </c>
      <c r="R31" s="60" t="str">
        <f>IF('Control de asignaciones'!A30&gt;0,_xlfn.CEILING.MATH(N31*0.100278),"")</f>
        <v/>
      </c>
      <c r="S31" s="60" t="str">
        <f>IF('Control de asignaciones'!A30&gt;0,_xlfn.CEILING.MATH(N31*0.203333),"")</f>
        <v/>
      </c>
      <c r="T31" s="60" t="str">
        <f>IF('Control de asignaciones'!A30&gt;0,L31*I31*137.5,"")</f>
        <v/>
      </c>
      <c r="U31" s="60" t="str">
        <f>IF('Control de asignaciones'!A30&gt;0,_xlfn.CEILING.MATH(N31*0.3378),"")</f>
        <v/>
      </c>
      <c r="V31" s="60">
        <f t="shared" si="7"/>
        <v>0</v>
      </c>
      <c r="W31" s="40"/>
    </row>
    <row r="32" ht="12.75" customHeight="1">
      <c r="A32" s="73"/>
      <c r="B32" s="74"/>
      <c r="C32" s="74"/>
      <c r="D32" s="92"/>
      <c r="E32" s="5"/>
      <c r="F32" s="6"/>
      <c r="G32" s="91"/>
      <c r="H32" s="78" t="str">
        <f>IF(G32&gt;0,VLOOKUP(G32,puestos,2,0),"")</f>
        <v/>
      </c>
      <c r="I32" s="93"/>
      <c r="J32" s="91"/>
      <c r="K32" s="91"/>
      <c r="L32" s="81" t="str">
        <f t="shared" si="8"/>
        <v/>
      </c>
      <c r="M32" s="83" t="str">
        <f t="shared" si="9"/>
        <v/>
      </c>
      <c r="N32" s="83" t="str">
        <f t="shared" si="10"/>
        <v/>
      </c>
      <c r="O32" s="84"/>
      <c r="P32" s="85" t="str">
        <f t="shared" si="6"/>
        <v/>
      </c>
      <c r="Q32" s="86" t="str">
        <f>IF('Control de asignaciones'!A31&gt;0,_xlfn.CEILING.MATH(N32*0.100278),"")</f>
        <v/>
      </c>
      <c r="R32" s="60" t="str">
        <f>IF('Control de asignaciones'!A31&gt;0,_xlfn.CEILING.MATH(N32*0.100278),"")</f>
        <v/>
      </c>
      <c r="S32" s="60" t="str">
        <f>IF('Control de asignaciones'!A31&gt;0,_xlfn.CEILING.MATH(N32*0.203333),"")</f>
        <v/>
      </c>
      <c r="T32" s="60" t="str">
        <f>IF('Control de asignaciones'!A31&gt;0,L32*I32*137.5,"")</f>
        <v/>
      </c>
      <c r="U32" s="60" t="str">
        <f>IF('Control de asignaciones'!A31&gt;0,_xlfn.CEILING.MATH(N32*0.3378),"")</f>
        <v/>
      </c>
      <c r="V32" s="60">
        <f t="shared" si="7"/>
        <v>0</v>
      </c>
      <c r="W32" s="40"/>
    </row>
    <row r="33" ht="12.75" customHeight="1">
      <c r="A33" s="73"/>
      <c r="B33" s="74"/>
      <c r="C33" s="74"/>
      <c r="D33" s="92"/>
      <c r="E33" s="5"/>
      <c r="F33" s="6"/>
      <c r="G33" s="91"/>
      <c r="H33" s="78" t="str">
        <f>IF(G33&gt;0,VLOOKUP(G33,puestos,2,0),"")</f>
        <v/>
      </c>
      <c r="I33" s="93"/>
      <c r="J33" s="91"/>
      <c r="K33" s="91"/>
      <c r="L33" s="81" t="str">
        <f t="shared" si="8"/>
        <v/>
      </c>
      <c r="M33" s="83" t="str">
        <f t="shared" si="9"/>
        <v/>
      </c>
      <c r="N33" s="83" t="str">
        <f t="shared" si="10"/>
        <v/>
      </c>
      <c r="P33" s="64"/>
      <c r="Q33" s="40"/>
      <c r="R33" s="40"/>
      <c r="S33" s="40"/>
      <c r="T33" s="40"/>
      <c r="U33" s="40"/>
      <c r="V33" s="40"/>
      <c r="W33" s="40"/>
    </row>
    <row r="34" ht="12.75" customHeight="1">
      <c r="A34" s="94"/>
      <c r="B34" s="24"/>
      <c r="C34" s="24"/>
      <c r="M34" s="95"/>
      <c r="N34" s="96">
        <f>SUM(N17:N33)</f>
        <v>162500</v>
      </c>
      <c r="O34" s="97"/>
      <c r="P34" s="98">
        <f>SUM(N17:N33)</f>
        <v>162500</v>
      </c>
      <c r="Q34" s="40"/>
      <c r="R34" s="40"/>
      <c r="S34" s="40"/>
      <c r="T34" s="40"/>
      <c r="U34" s="40"/>
      <c r="V34" s="40"/>
      <c r="W34" s="40"/>
    </row>
    <row r="35" ht="12.75" customHeight="1">
      <c r="A35" s="65"/>
      <c r="B35" s="24"/>
      <c r="C35" s="24"/>
      <c r="F35" s="56"/>
      <c r="G35" s="99"/>
      <c r="H35" s="100"/>
      <c r="I35" s="100"/>
      <c r="J35" s="101" t="s">
        <v>90</v>
      </c>
      <c r="K35" s="102">
        <f>+SUMPRODUCT(I17:I33,L17:L33)</f>
        <v>125</v>
      </c>
      <c r="L35" s="100"/>
      <c r="M35" s="103" t="str">
        <f>+CONCATENATE($J$3,".071 AGUINALDO")</f>
        <v>.071 AGUINALDO</v>
      </c>
      <c r="O35" s="104"/>
      <c r="P35" s="98">
        <f t="shared" ref="P35:P36" si="11">_xlfn.CEILING.MATH($P$34*0.100278)</f>
        <v>16296</v>
      </c>
      <c r="Q35" s="40"/>
      <c r="R35" s="40"/>
      <c r="S35" s="40"/>
      <c r="T35" s="40"/>
      <c r="U35" s="40"/>
      <c r="V35" s="60">
        <f>SUM(V17:V34)</f>
        <v>300224.5</v>
      </c>
      <c r="W35" s="40"/>
    </row>
    <row r="36" ht="12.75" customHeight="1">
      <c r="A36" s="65"/>
      <c r="B36" s="24"/>
      <c r="C36" s="24"/>
      <c r="M36" s="105"/>
      <c r="N36" s="106" t="str">
        <f>+CONCATENATE($J$3,".072 BONO 14")</f>
        <v>.072 BONO 14</v>
      </c>
      <c r="O36" s="107"/>
      <c r="P36" s="98">
        <f t="shared" si="11"/>
        <v>16296</v>
      </c>
      <c r="Q36" s="40"/>
      <c r="R36" s="40"/>
      <c r="S36" s="40"/>
      <c r="T36" s="40"/>
      <c r="U36" s="40"/>
      <c r="V36" s="40"/>
      <c r="W36" s="40"/>
    </row>
    <row r="37" ht="12.75" customHeight="1">
      <c r="A37" s="65"/>
      <c r="B37" s="24"/>
      <c r="C37" s="24"/>
      <c r="M37" s="105"/>
      <c r="N37" s="106" t="str">
        <f>+CONCATENATE($J$3,".075 DIFERIDO")</f>
        <v>.075 DIFERIDO</v>
      </c>
      <c r="O37" s="107"/>
      <c r="P37" s="98">
        <f>_xlfn.CEILING.MATH($P$34*0.203333)</f>
        <v>33042</v>
      </c>
      <c r="Q37" s="40"/>
      <c r="R37" s="40"/>
      <c r="S37" s="40"/>
      <c r="T37" s="40"/>
      <c r="U37" s="40"/>
      <c r="V37" s="40"/>
      <c r="W37" s="40"/>
    </row>
    <row r="38" ht="12.75" customHeight="1">
      <c r="A38" s="65"/>
      <c r="M38" s="105"/>
      <c r="N38" s="106" t="str">
        <f>+CONCATENATE($J$3,".076 BONO MENSUAL")</f>
        <v>.076 BONO MENSUAL</v>
      </c>
      <c r="O38" s="107"/>
      <c r="P38" s="98">
        <f>(K35*137.5)</f>
        <v>17187.5</v>
      </c>
      <c r="Q38" s="40"/>
      <c r="R38" s="40"/>
      <c r="S38" s="40"/>
      <c r="T38" s="40"/>
      <c r="U38" s="40"/>
      <c r="V38" s="40"/>
      <c r="W38" s="40"/>
    </row>
    <row r="39" ht="12.75" customHeight="1">
      <c r="A39" s="65"/>
      <c r="B39" s="24"/>
      <c r="C39" s="24"/>
      <c r="D39" s="24"/>
      <c r="J39" s="108" t="s">
        <v>91</v>
      </c>
      <c r="K39" s="109"/>
      <c r="L39" s="109"/>
      <c r="M39" s="105"/>
      <c r="O39" s="110" t="str">
        <f>+CONCATENATE($J$3,".055 APORTE PLAN PRESTACIONES")</f>
        <v>.055 APORTE PLAN PRESTACIONES</v>
      </c>
      <c r="P39" s="98">
        <f>_xlfn.CEILING.MATH($P$34*0.3378)</f>
        <v>54893</v>
      </c>
      <c r="Q39" s="40"/>
      <c r="R39" s="40"/>
      <c r="S39" s="40"/>
      <c r="T39" s="40"/>
      <c r="U39" s="40"/>
      <c r="V39" s="40"/>
      <c r="W39" s="40"/>
    </row>
    <row r="40" ht="12.75" customHeight="1">
      <c r="A40" s="65"/>
      <c r="B40" s="24"/>
      <c r="C40" s="24"/>
      <c r="M40" s="105"/>
      <c r="O40" s="110" t="s">
        <v>92</v>
      </c>
      <c r="P40" s="111">
        <f>SUM(P35:P39)</f>
        <v>137714.5</v>
      </c>
      <c r="Q40" s="40"/>
      <c r="R40" s="40"/>
      <c r="S40" s="40"/>
      <c r="T40" s="40"/>
      <c r="U40" s="40"/>
      <c r="V40" s="40"/>
      <c r="W40" s="40"/>
    </row>
    <row r="41" ht="27.0" customHeight="1">
      <c r="A41" s="112"/>
      <c r="B41" s="113"/>
      <c r="C41" s="113"/>
      <c r="D41" s="114"/>
      <c r="E41" s="114"/>
      <c r="F41" s="114"/>
      <c r="G41" s="114"/>
      <c r="H41" s="114"/>
      <c r="I41" s="114"/>
      <c r="J41" s="114"/>
      <c r="K41" s="114"/>
      <c r="L41" s="114"/>
      <c r="M41" s="115" t="s">
        <v>93</v>
      </c>
      <c r="N41" s="116"/>
      <c r="O41" s="117"/>
      <c r="P41" s="118">
        <f>P34+P40</f>
        <v>300214.5</v>
      </c>
      <c r="Q41" s="40"/>
      <c r="R41" s="40"/>
      <c r="S41" s="40"/>
      <c r="T41" s="40"/>
      <c r="U41" s="40"/>
      <c r="V41" s="40"/>
      <c r="W41" s="40"/>
    </row>
    <row r="42" ht="12.75" customHeight="1">
      <c r="A42" s="65"/>
      <c r="B42" s="24"/>
      <c r="C42" s="24"/>
      <c r="Q42" s="40"/>
      <c r="R42" s="40"/>
      <c r="S42" s="40"/>
      <c r="T42" s="40"/>
      <c r="U42" s="40"/>
      <c r="V42" s="40"/>
      <c r="W42" s="40"/>
    </row>
    <row r="43" ht="12.75" customHeight="1">
      <c r="B43" s="24"/>
      <c r="C43" s="24"/>
      <c r="Q43" s="40"/>
      <c r="R43" s="40"/>
      <c r="S43" s="40"/>
      <c r="T43" s="40"/>
      <c r="U43" s="40"/>
      <c r="V43" s="40"/>
      <c r="W43" s="40"/>
    </row>
    <row r="44" ht="12.75" customHeight="1">
      <c r="A44" s="100"/>
      <c r="B44" s="119"/>
      <c r="C44" s="119"/>
      <c r="D44" s="100"/>
      <c r="E44" s="100"/>
      <c r="F44" s="100"/>
      <c r="G44" s="100"/>
      <c r="H44" s="100"/>
      <c r="I44" s="100"/>
      <c r="J44" s="100"/>
      <c r="K44" s="100"/>
      <c r="L44" s="100"/>
      <c r="M44" s="100"/>
      <c r="N44" s="100"/>
      <c r="O44" s="100"/>
      <c r="P44" s="100"/>
      <c r="Q44" s="40"/>
      <c r="R44" s="40"/>
      <c r="S44" s="40"/>
      <c r="T44" s="40"/>
      <c r="U44" s="40"/>
      <c r="V44" s="40"/>
      <c r="W44" s="40"/>
    </row>
    <row r="45" ht="12.75" customHeight="1">
      <c r="A45" s="100"/>
      <c r="B45" s="119"/>
      <c r="C45" s="101" t="s">
        <v>94</v>
      </c>
      <c r="D45" s="100"/>
      <c r="E45" s="100"/>
      <c r="F45" s="100"/>
      <c r="G45" s="100"/>
      <c r="H45" s="100"/>
      <c r="I45" s="100"/>
      <c r="J45" s="100"/>
      <c r="K45" s="101" t="s">
        <v>94</v>
      </c>
      <c r="L45" s="119"/>
      <c r="M45" s="101" t="s">
        <v>94</v>
      </c>
      <c r="N45" s="119"/>
      <c r="Q45" s="40"/>
      <c r="R45" s="40"/>
      <c r="S45" s="40"/>
      <c r="T45" s="40"/>
      <c r="U45" s="40"/>
      <c r="V45" s="40"/>
      <c r="W45" s="40"/>
    </row>
    <row r="46" ht="12.75" customHeight="1">
      <c r="A46" s="100"/>
      <c r="B46" s="119"/>
      <c r="C46" s="119"/>
      <c r="D46" s="119" t="str">
        <f>E8</f>
        <v>Alan Pamal</v>
      </c>
      <c r="H46" s="100"/>
      <c r="I46" s="100"/>
      <c r="J46" s="100"/>
      <c r="K46" s="100"/>
      <c r="L46" s="119" t="str">
        <f>IF(M8&gt;0,VLOOKUP(M8,coordinadores,2,0),"")</f>
        <v>Dra. Hilda Valencia de Abril</v>
      </c>
      <c r="M46" s="100"/>
      <c r="N46" s="119" t="s">
        <v>95</v>
      </c>
      <c r="Q46" s="40"/>
      <c r="R46" s="40"/>
      <c r="S46" s="40"/>
      <c r="T46" s="40"/>
      <c r="U46" s="40"/>
      <c r="V46" s="40"/>
      <c r="W46" s="40"/>
    </row>
    <row r="47" ht="12.75" customHeight="1">
      <c r="A47" s="100"/>
      <c r="B47" s="119"/>
      <c r="C47" s="119"/>
      <c r="D47" s="119" t="s">
        <v>96</v>
      </c>
      <c r="H47" s="100"/>
      <c r="I47" s="100"/>
      <c r="J47" s="100"/>
      <c r="K47" s="100"/>
      <c r="L47" s="119" t="s">
        <v>97</v>
      </c>
      <c r="M47" s="100"/>
      <c r="N47" s="119" t="s">
        <v>98</v>
      </c>
      <c r="Q47" s="40"/>
      <c r="R47" s="40"/>
      <c r="S47" s="40"/>
      <c r="T47" s="40"/>
      <c r="U47" s="40"/>
      <c r="V47" s="40"/>
      <c r="W47" s="40"/>
    </row>
    <row r="48" ht="12.75" customHeight="1">
      <c r="A48" s="100"/>
      <c r="B48" s="119"/>
      <c r="C48" s="119"/>
      <c r="D48" s="100"/>
      <c r="E48" s="100"/>
      <c r="F48" s="100"/>
      <c r="G48" s="100"/>
      <c r="H48" s="100"/>
      <c r="I48" s="100"/>
      <c r="J48" s="100"/>
      <c r="K48" s="100"/>
      <c r="L48" s="100"/>
      <c r="M48" s="100"/>
      <c r="N48" s="100"/>
      <c r="O48" s="100"/>
      <c r="P48" s="100"/>
      <c r="Q48" s="40"/>
      <c r="R48" s="40"/>
      <c r="S48" s="40"/>
      <c r="T48" s="40"/>
      <c r="U48" s="40"/>
      <c r="V48" s="40"/>
      <c r="W48" s="40"/>
    </row>
    <row r="49" ht="12.75" customHeight="1">
      <c r="A49" s="100"/>
      <c r="B49" s="119"/>
      <c r="C49" s="119"/>
      <c r="D49" s="100"/>
      <c r="E49" s="100"/>
      <c r="F49" s="100"/>
      <c r="G49" s="100"/>
      <c r="H49" s="100"/>
      <c r="I49" s="100"/>
      <c r="J49" s="100"/>
      <c r="K49" s="100"/>
      <c r="L49" s="100"/>
      <c r="M49" s="100"/>
      <c r="N49" s="100"/>
      <c r="O49" s="100"/>
      <c r="P49" s="100"/>
      <c r="Q49" s="40"/>
      <c r="R49" s="40"/>
      <c r="S49" s="40"/>
      <c r="T49" s="40"/>
      <c r="U49" s="40"/>
      <c r="V49" s="40"/>
      <c r="W49" s="40"/>
    </row>
    <row r="50" ht="12.75" customHeight="1">
      <c r="B50" s="24"/>
      <c r="C50" s="24"/>
      <c r="Q50" s="40"/>
      <c r="R50" s="40"/>
      <c r="S50" s="40"/>
      <c r="T50" s="40"/>
      <c r="U50" s="40"/>
      <c r="V50" s="40"/>
      <c r="W50" s="40"/>
    </row>
    <row r="51" ht="12.75" customHeight="1">
      <c r="B51" s="24"/>
      <c r="C51" s="24"/>
      <c r="Q51" s="40"/>
      <c r="R51" s="40"/>
      <c r="S51" s="40"/>
      <c r="T51" s="40"/>
      <c r="U51" s="40"/>
      <c r="V51" s="40"/>
      <c r="W51" s="40"/>
    </row>
    <row r="52" ht="12.75" customHeight="1">
      <c r="B52" s="24"/>
      <c r="C52" s="24"/>
      <c r="Q52" s="40"/>
      <c r="R52" s="40"/>
      <c r="S52" s="40"/>
      <c r="T52" s="40"/>
      <c r="U52" s="40"/>
      <c r="V52" s="40"/>
      <c r="W52" s="40"/>
    </row>
    <row r="53" ht="12.75" customHeight="1">
      <c r="B53" s="24"/>
      <c r="C53" s="24"/>
      <c r="Q53" s="40"/>
      <c r="R53" s="40"/>
      <c r="S53" s="40"/>
      <c r="T53" s="40"/>
      <c r="U53" s="40"/>
      <c r="V53" s="40"/>
      <c r="W53" s="40"/>
    </row>
    <row r="54" ht="12.75" customHeight="1">
      <c r="B54" s="24"/>
      <c r="C54" s="24"/>
      <c r="Q54" s="40"/>
      <c r="R54" s="40"/>
      <c r="S54" s="40"/>
      <c r="T54" s="40"/>
      <c r="U54" s="40"/>
      <c r="V54" s="40"/>
      <c r="W54" s="40"/>
    </row>
    <row r="55" ht="12.75" customHeight="1">
      <c r="B55" s="24"/>
      <c r="C55" s="24"/>
      <c r="Q55" s="40"/>
      <c r="R55" s="40"/>
      <c r="S55" s="40"/>
      <c r="T55" s="40"/>
      <c r="U55" s="40"/>
      <c r="V55" s="40"/>
      <c r="W55" s="40"/>
    </row>
    <row r="56" ht="12.75" customHeight="1">
      <c r="B56" s="24"/>
      <c r="C56" s="24"/>
      <c r="Q56" s="40"/>
      <c r="R56" s="40"/>
      <c r="S56" s="40"/>
      <c r="T56" s="40"/>
      <c r="U56" s="40"/>
      <c r="V56" s="40"/>
      <c r="W56" s="40"/>
    </row>
    <row r="57" ht="12.75" customHeight="1">
      <c r="B57" s="24"/>
      <c r="C57" s="24"/>
      <c r="Q57" s="40"/>
      <c r="R57" s="40"/>
      <c r="S57" s="40"/>
      <c r="T57" s="40"/>
      <c r="U57" s="40"/>
      <c r="V57" s="40"/>
      <c r="W57" s="40"/>
    </row>
    <row r="58" ht="12.75" customHeight="1">
      <c r="B58" s="24"/>
      <c r="C58" s="24"/>
      <c r="Q58" s="40"/>
      <c r="R58" s="40"/>
      <c r="S58" s="40"/>
      <c r="T58" s="40"/>
      <c r="U58" s="40"/>
      <c r="V58" s="40"/>
      <c r="W58" s="40"/>
    </row>
    <row r="59" ht="12.75" customHeight="1">
      <c r="B59" s="24"/>
      <c r="C59" s="24"/>
      <c r="Q59" s="40"/>
      <c r="R59" s="40"/>
      <c r="S59" s="40"/>
      <c r="T59" s="40"/>
      <c r="U59" s="40"/>
      <c r="V59" s="40"/>
      <c r="W59" s="40"/>
    </row>
    <row r="60" ht="12.75" customHeight="1">
      <c r="B60" s="24"/>
      <c r="C60" s="24"/>
      <c r="Q60" s="40"/>
      <c r="R60" s="40"/>
      <c r="S60" s="40"/>
      <c r="T60" s="40"/>
      <c r="U60" s="40"/>
      <c r="V60" s="40"/>
      <c r="W60" s="40"/>
    </row>
    <row r="61" ht="12.75" customHeight="1">
      <c r="B61" s="24"/>
      <c r="C61" s="24"/>
      <c r="Q61" s="40"/>
      <c r="R61" s="40"/>
      <c r="S61" s="40"/>
      <c r="T61" s="40"/>
      <c r="U61" s="40"/>
      <c r="V61" s="40"/>
      <c r="W61" s="40"/>
    </row>
    <row r="62" ht="12.75" customHeight="1">
      <c r="B62" s="24"/>
      <c r="C62" s="24"/>
      <c r="Q62" s="40"/>
      <c r="R62" s="40"/>
      <c r="S62" s="40"/>
      <c r="T62" s="40"/>
      <c r="U62" s="40"/>
      <c r="V62" s="40"/>
      <c r="W62" s="40"/>
    </row>
    <row r="63" ht="12.75" customHeight="1">
      <c r="B63" s="24"/>
      <c r="C63" s="24"/>
      <c r="Q63" s="40"/>
      <c r="R63" s="40"/>
      <c r="S63" s="40"/>
      <c r="T63" s="40"/>
      <c r="U63" s="40"/>
      <c r="V63" s="40"/>
      <c r="W63" s="40"/>
    </row>
    <row r="64" ht="12.75" customHeight="1">
      <c r="B64" s="24"/>
      <c r="C64" s="24"/>
      <c r="Q64" s="40"/>
      <c r="R64" s="40"/>
      <c r="S64" s="40"/>
      <c r="T64" s="40"/>
      <c r="U64" s="40"/>
      <c r="V64" s="40"/>
      <c r="W64" s="40"/>
    </row>
    <row r="65" ht="12.75" customHeight="1">
      <c r="B65" s="24"/>
      <c r="C65" s="24"/>
      <c r="Q65" s="40"/>
      <c r="R65" s="40"/>
      <c r="S65" s="40"/>
      <c r="T65" s="40"/>
      <c r="U65" s="40"/>
      <c r="V65" s="40"/>
      <c r="W65" s="40"/>
    </row>
    <row r="66" ht="12.75" customHeight="1">
      <c r="B66" s="24"/>
      <c r="C66" s="24"/>
      <c r="Q66" s="40"/>
      <c r="R66" s="40"/>
      <c r="S66" s="40"/>
      <c r="T66" s="40"/>
      <c r="U66" s="40"/>
      <c r="V66" s="40"/>
      <c r="W66" s="40"/>
    </row>
    <row r="67" ht="12.75" customHeight="1">
      <c r="B67" s="24"/>
      <c r="C67" s="24"/>
      <c r="Q67" s="40"/>
      <c r="R67" s="40"/>
      <c r="S67" s="40"/>
      <c r="T67" s="40"/>
      <c r="U67" s="40"/>
      <c r="V67" s="40"/>
      <c r="W67" s="40"/>
    </row>
    <row r="68" ht="12.75" customHeight="1">
      <c r="B68" s="24"/>
      <c r="C68" s="24"/>
      <c r="Q68" s="40"/>
      <c r="R68" s="40"/>
      <c r="S68" s="40"/>
      <c r="T68" s="40"/>
      <c r="U68" s="40"/>
      <c r="V68" s="40"/>
      <c r="W68" s="40"/>
    </row>
    <row r="69" ht="12.75" customHeight="1">
      <c r="B69" s="24"/>
      <c r="C69" s="24"/>
      <c r="Q69" s="40"/>
      <c r="R69" s="40"/>
      <c r="S69" s="40"/>
      <c r="T69" s="40"/>
      <c r="U69" s="40"/>
      <c r="V69" s="40"/>
      <c r="W69" s="40"/>
    </row>
    <row r="70" ht="12.75" customHeight="1">
      <c r="B70" s="24"/>
      <c r="C70" s="24"/>
      <c r="Q70" s="40"/>
      <c r="R70" s="40"/>
      <c r="S70" s="40"/>
      <c r="T70" s="40"/>
      <c r="U70" s="40"/>
      <c r="V70" s="40"/>
      <c r="W70" s="40"/>
    </row>
    <row r="71" ht="12.75" customHeight="1">
      <c r="B71" s="24"/>
      <c r="C71" s="24"/>
      <c r="Q71" s="40"/>
      <c r="R71" s="40"/>
      <c r="S71" s="40"/>
      <c r="T71" s="40"/>
      <c r="U71" s="40"/>
      <c r="V71" s="40"/>
      <c r="W71" s="40"/>
    </row>
    <row r="72" ht="12.75" customHeight="1">
      <c r="B72" s="24"/>
      <c r="C72" s="24"/>
      <c r="Q72" s="40"/>
      <c r="R72" s="40"/>
      <c r="S72" s="40"/>
      <c r="T72" s="40"/>
      <c r="U72" s="40"/>
      <c r="V72" s="40"/>
      <c r="W72" s="40"/>
    </row>
    <row r="73" ht="12.75" customHeight="1">
      <c r="B73" s="24"/>
      <c r="C73" s="24"/>
      <c r="Q73" s="40"/>
      <c r="R73" s="40"/>
      <c r="S73" s="40"/>
      <c r="T73" s="40"/>
      <c r="U73" s="40"/>
      <c r="V73" s="40"/>
      <c r="W73" s="40"/>
    </row>
    <row r="74" ht="12.75" customHeight="1">
      <c r="B74" s="24"/>
      <c r="C74" s="24"/>
      <c r="Q74" s="40"/>
      <c r="R74" s="40"/>
      <c r="S74" s="40"/>
      <c r="T74" s="40"/>
      <c r="U74" s="40"/>
      <c r="V74" s="40"/>
      <c r="W74" s="40"/>
    </row>
    <row r="75" ht="12.75" customHeight="1">
      <c r="B75" s="24"/>
      <c r="C75" s="24"/>
      <c r="Q75" s="40"/>
      <c r="R75" s="40"/>
      <c r="S75" s="40"/>
      <c r="T75" s="40"/>
      <c r="U75" s="40"/>
      <c r="V75" s="40"/>
      <c r="W75" s="40"/>
    </row>
    <row r="76" ht="12.75" customHeight="1">
      <c r="B76" s="24"/>
      <c r="C76" s="24"/>
      <c r="Q76" s="40"/>
      <c r="R76" s="40"/>
      <c r="S76" s="40"/>
      <c r="T76" s="40"/>
      <c r="U76" s="40"/>
      <c r="V76" s="40"/>
      <c r="W76" s="40"/>
    </row>
    <row r="77" ht="12.75" customHeight="1">
      <c r="B77" s="24"/>
      <c r="C77" s="24"/>
      <c r="Q77" s="40"/>
      <c r="R77" s="40"/>
      <c r="S77" s="40"/>
      <c r="T77" s="40"/>
      <c r="U77" s="40"/>
      <c r="V77" s="40"/>
      <c r="W77" s="40"/>
    </row>
    <row r="78" ht="12.75" customHeight="1">
      <c r="B78" s="24"/>
      <c r="C78" s="24"/>
      <c r="Q78" s="40"/>
      <c r="R78" s="40"/>
      <c r="S78" s="40"/>
      <c r="T78" s="40"/>
      <c r="U78" s="40"/>
      <c r="V78" s="40"/>
      <c r="W78" s="40"/>
    </row>
    <row r="79" ht="12.75" customHeight="1">
      <c r="B79" s="24"/>
      <c r="C79" s="24"/>
      <c r="Q79" s="40"/>
      <c r="R79" s="40"/>
      <c r="S79" s="40"/>
      <c r="T79" s="40"/>
      <c r="U79" s="40"/>
      <c r="V79" s="40"/>
      <c r="W79" s="40"/>
    </row>
    <row r="80" ht="12.75" customHeight="1">
      <c r="B80" s="24"/>
      <c r="C80" s="24"/>
      <c r="Q80" s="40"/>
      <c r="R80" s="40"/>
      <c r="S80" s="40"/>
      <c r="T80" s="40"/>
      <c r="U80" s="40"/>
      <c r="V80" s="40"/>
      <c r="W80" s="40"/>
    </row>
    <row r="81" ht="12.75" customHeight="1">
      <c r="B81" s="24"/>
      <c r="C81" s="24"/>
      <c r="Q81" s="40"/>
      <c r="R81" s="40"/>
      <c r="S81" s="40"/>
      <c r="T81" s="40"/>
      <c r="U81" s="40"/>
      <c r="V81" s="40"/>
      <c r="W81" s="40"/>
    </row>
    <row r="82" ht="12.75" customHeight="1">
      <c r="B82" s="24"/>
      <c r="C82" s="24"/>
      <c r="Q82" s="40"/>
      <c r="R82" s="40"/>
      <c r="S82" s="40"/>
      <c r="T82" s="40"/>
      <c r="U82" s="40"/>
      <c r="V82" s="40"/>
      <c r="W82" s="40"/>
    </row>
    <row r="83" ht="12.75" customHeight="1">
      <c r="B83" s="24"/>
      <c r="C83" s="24"/>
      <c r="Q83" s="40"/>
      <c r="R83" s="40"/>
      <c r="S83" s="40"/>
      <c r="T83" s="40"/>
      <c r="U83" s="40"/>
      <c r="V83" s="40"/>
      <c r="W83" s="40"/>
    </row>
    <row r="84" ht="12.75" customHeight="1">
      <c r="B84" s="24"/>
      <c r="C84" s="24"/>
      <c r="Q84" s="40"/>
      <c r="R84" s="40"/>
      <c r="S84" s="40"/>
      <c r="T84" s="40"/>
      <c r="U84" s="40"/>
      <c r="V84" s="40"/>
      <c r="W84" s="40"/>
    </row>
    <row r="85" ht="12.75" customHeight="1">
      <c r="B85" s="24"/>
      <c r="C85" s="24"/>
      <c r="Q85" s="40"/>
      <c r="R85" s="40"/>
      <c r="S85" s="40"/>
      <c r="T85" s="40"/>
      <c r="U85" s="40"/>
      <c r="V85" s="40"/>
      <c r="W85" s="40"/>
    </row>
    <row r="86" ht="12.75" customHeight="1">
      <c r="B86" s="24"/>
      <c r="C86" s="24"/>
      <c r="Q86" s="40"/>
      <c r="R86" s="40"/>
      <c r="S86" s="40"/>
      <c r="T86" s="40"/>
      <c r="U86" s="40"/>
      <c r="V86" s="40"/>
      <c r="W86" s="40"/>
    </row>
    <row r="87" ht="12.75" customHeight="1">
      <c r="B87" s="24"/>
      <c r="C87" s="24"/>
      <c r="Q87" s="40"/>
      <c r="R87" s="40"/>
      <c r="S87" s="40"/>
      <c r="T87" s="40"/>
      <c r="U87" s="40"/>
      <c r="V87" s="40"/>
      <c r="W87" s="40"/>
    </row>
    <row r="88" ht="12.75" customHeight="1">
      <c r="B88" s="24"/>
      <c r="C88" s="24"/>
      <c r="Q88" s="40"/>
      <c r="R88" s="40"/>
      <c r="S88" s="40"/>
      <c r="T88" s="40"/>
      <c r="U88" s="40"/>
      <c r="V88" s="40"/>
      <c r="W88" s="40"/>
    </row>
    <row r="89" ht="12.75" customHeight="1">
      <c r="B89" s="24"/>
      <c r="C89" s="24"/>
      <c r="Q89" s="40"/>
      <c r="R89" s="40"/>
      <c r="S89" s="40"/>
      <c r="T89" s="40"/>
      <c r="U89" s="40"/>
      <c r="V89" s="40"/>
      <c r="W89" s="40"/>
    </row>
    <row r="90" ht="12.75" customHeight="1">
      <c r="B90" s="24"/>
      <c r="C90" s="24"/>
      <c r="Q90" s="40"/>
      <c r="R90" s="40"/>
      <c r="S90" s="40"/>
      <c r="T90" s="40"/>
      <c r="U90" s="40"/>
      <c r="V90" s="40"/>
      <c r="W90" s="40"/>
    </row>
    <row r="91" ht="12.75" customHeight="1">
      <c r="B91" s="24"/>
      <c r="C91" s="24"/>
      <c r="Q91" s="40"/>
      <c r="R91" s="40"/>
      <c r="S91" s="40"/>
      <c r="T91" s="40"/>
      <c r="U91" s="40"/>
      <c r="V91" s="40"/>
      <c r="W91" s="40"/>
    </row>
    <row r="92" ht="12.75" customHeight="1">
      <c r="B92" s="24"/>
      <c r="C92" s="24"/>
      <c r="Q92" s="40"/>
      <c r="R92" s="40"/>
      <c r="S92" s="40"/>
      <c r="T92" s="40"/>
      <c r="U92" s="40"/>
      <c r="V92" s="40"/>
      <c r="W92" s="40"/>
    </row>
    <row r="93" ht="12.75" customHeight="1">
      <c r="B93" s="24"/>
      <c r="C93" s="24"/>
      <c r="Q93" s="40"/>
      <c r="R93" s="40"/>
      <c r="S93" s="40"/>
      <c r="T93" s="40"/>
      <c r="U93" s="40"/>
      <c r="V93" s="40"/>
      <c r="W93" s="40"/>
    </row>
    <row r="94" ht="12.75" customHeight="1">
      <c r="B94" s="24"/>
      <c r="C94" s="24"/>
      <c r="Q94" s="40"/>
      <c r="R94" s="40"/>
      <c r="S94" s="40"/>
      <c r="T94" s="40"/>
      <c r="U94" s="40"/>
      <c r="V94" s="40"/>
      <c r="W94" s="40"/>
    </row>
    <row r="95" ht="12.75" customHeight="1">
      <c r="B95" s="24"/>
      <c r="C95" s="24"/>
      <c r="Q95" s="40"/>
      <c r="R95" s="40"/>
      <c r="S95" s="40"/>
      <c r="T95" s="40"/>
      <c r="U95" s="40"/>
      <c r="V95" s="40"/>
      <c r="W95" s="40"/>
    </row>
    <row r="96" ht="12.75" customHeight="1">
      <c r="B96" s="24"/>
      <c r="C96" s="24"/>
      <c r="Q96" s="40"/>
      <c r="R96" s="40"/>
      <c r="S96" s="40"/>
      <c r="T96" s="40"/>
      <c r="U96" s="40"/>
      <c r="V96" s="40"/>
      <c r="W96" s="40"/>
    </row>
    <row r="97" ht="12.75" customHeight="1">
      <c r="B97" s="24"/>
      <c r="C97" s="24"/>
      <c r="Q97" s="40"/>
      <c r="R97" s="40"/>
      <c r="S97" s="40"/>
      <c r="T97" s="40"/>
      <c r="U97" s="40"/>
      <c r="V97" s="40"/>
      <c r="W97" s="40"/>
    </row>
    <row r="98" ht="12.75" customHeight="1">
      <c r="B98" s="24"/>
      <c r="C98" s="24"/>
      <c r="Q98" s="40"/>
      <c r="R98" s="40"/>
      <c r="S98" s="40"/>
      <c r="T98" s="40"/>
      <c r="U98" s="40"/>
      <c r="V98" s="40"/>
      <c r="W98" s="40"/>
    </row>
    <row r="99" ht="12.75" customHeight="1">
      <c r="B99" s="24"/>
      <c r="C99" s="24"/>
      <c r="Q99" s="40"/>
      <c r="R99" s="40"/>
      <c r="S99" s="40"/>
      <c r="T99" s="40"/>
      <c r="U99" s="40"/>
      <c r="V99" s="40"/>
      <c r="W99" s="40"/>
    </row>
    <row r="100" ht="12.75" customHeight="1">
      <c r="B100" s="24"/>
      <c r="C100" s="24"/>
      <c r="Q100" s="40"/>
      <c r="R100" s="40"/>
      <c r="S100" s="40"/>
      <c r="T100" s="40"/>
      <c r="U100" s="40"/>
      <c r="V100" s="40"/>
      <c r="W100" s="40"/>
    </row>
    <row r="101" ht="12.75" customHeight="1">
      <c r="B101" s="24"/>
      <c r="C101" s="24"/>
      <c r="Q101" s="40"/>
      <c r="R101" s="40"/>
      <c r="S101" s="40"/>
      <c r="T101" s="40"/>
      <c r="U101" s="40"/>
      <c r="V101" s="40"/>
      <c r="W101" s="40"/>
    </row>
    <row r="102" ht="12.75" customHeight="1">
      <c r="B102" s="24"/>
      <c r="C102" s="24"/>
      <c r="Q102" s="40"/>
      <c r="R102" s="40"/>
      <c r="S102" s="40"/>
      <c r="T102" s="40"/>
      <c r="U102" s="40"/>
      <c r="V102" s="40"/>
      <c r="W102" s="40"/>
    </row>
    <row r="103" ht="12.75" customHeight="1">
      <c r="B103" s="24"/>
      <c r="C103" s="24"/>
      <c r="Q103" s="40"/>
      <c r="R103" s="40"/>
      <c r="S103" s="40"/>
      <c r="T103" s="40"/>
      <c r="U103" s="40"/>
      <c r="V103" s="40"/>
      <c r="W103" s="40"/>
    </row>
    <row r="104" ht="12.75" customHeight="1">
      <c r="B104" s="24"/>
      <c r="C104" s="24"/>
      <c r="Q104" s="40"/>
      <c r="R104" s="40"/>
      <c r="S104" s="40"/>
      <c r="T104" s="40"/>
      <c r="U104" s="40"/>
      <c r="V104" s="40"/>
      <c r="W104" s="40"/>
    </row>
    <row r="105" ht="12.75" customHeight="1">
      <c r="B105" s="24"/>
      <c r="C105" s="24"/>
      <c r="Q105" s="40"/>
      <c r="R105" s="40"/>
      <c r="S105" s="40"/>
      <c r="T105" s="40"/>
      <c r="U105" s="40"/>
      <c r="V105" s="40"/>
      <c r="W105" s="40"/>
    </row>
    <row r="106" ht="12.75" customHeight="1">
      <c r="B106" s="24"/>
      <c r="C106" s="24"/>
      <c r="Q106" s="40"/>
      <c r="R106" s="40"/>
      <c r="S106" s="40"/>
      <c r="T106" s="40"/>
      <c r="U106" s="40"/>
      <c r="V106" s="40"/>
      <c r="W106" s="40"/>
    </row>
    <row r="107" ht="12.75" customHeight="1">
      <c r="B107" s="24"/>
      <c r="C107" s="24"/>
      <c r="Q107" s="40"/>
      <c r="R107" s="40"/>
      <c r="S107" s="40"/>
      <c r="T107" s="40"/>
      <c r="U107" s="40"/>
      <c r="V107" s="40"/>
      <c r="W107" s="40"/>
    </row>
    <row r="108" ht="12.75" customHeight="1">
      <c r="B108" s="24"/>
      <c r="C108" s="24"/>
      <c r="Q108" s="40"/>
      <c r="R108" s="40"/>
      <c r="S108" s="40"/>
      <c r="T108" s="40"/>
      <c r="U108" s="40"/>
      <c r="V108" s="40"/>
      <c r="W108" s="40"/>
    </row>
    <row r="109" ht="12.75" customHeight="1">
      <c r="B109" s="24"/>
      <c r="C109" s="24"/>
      <c r="Q109" s="40"/>
      <c r="R109" s="40"/>
      <c r="S109" s="40"/>
      <c r="T109" s="40"/>
      <c r="U109" s="40"/>
      <c r="V109" s="40"/>
      <c r="W109" s="40"/>
    </row>
    <row r="110" ht="12.75" customHeight="1">
      <c r="B110" s="24"/>
      <c r="C110" s="24"/>
      <c r="Q110" s="40"/>
      <c r="R110" s="40"/>
      <c r="S110" s="40"/>
      <c r="T110" s="40"/>
      <c r="U110" s="40"/>
      <c r="V110" s="40"/>
      <c r="W110" s="40"/>
    </row>
    <row r="111" ht="12.75" customHeight="1">
      <c r="B111" s="24"/>
      <c r="C111" s="24"/>
      <c r="Q111" s="40"/>
      <c r="R111" s="40"/>
      <c r="S111" s="40"/>
      <c r="T111" s="40"/>
      <c r="U111" s="40"/>
      <c r="V111" s="40"/>
      <c r="W111" s="40"/>
    </row>
    <row r="112" ht="12.75" customHeight="1">
      <c r="B112" s="24"/>
      <c r="C112" s="24"/>
      <c r="Q112" s="40"/>
      <c r="R112" s="40"/>
      <c r="S112" s="40"/>
      <c r="T112" s="40"/>
      <c r="U112" s="40"/>
      <c r="V112" s="40"/>
      <c r="W112" s="40"/>
    </row>
    <row r="113" ht="12.75" customHeight="1">
      <c r="B113" s="24"/>
      <c r="C113" s="24"/>
      <c r="Q113" s="40"/>
      <c r="R113" s="40"/>
      <c r="S113" s="40"/>
      <c r="T113" s="40"/>
      <c r="U113" s="40"/>
      <c r="V113" s="40"/>
      <c r="W113" s="40"/>
    </row>
    <row r="114" ht="12.75" customHeight="1">
      <c r="B114" s="24"/>
      <c r="C114" s="24"/>
      <c r="Q114" s="40"/>
      <c r="R114" s="40"/>
      <c r="S114" s="40"/>
      <c r="T114" s="40"/>
      <c r="U114" s="40"/>
      <c r="V114" s="40"/>
      <c r="W114" s="40"/>
    </row>
    <row r="115" ht="12.75" customHeight="1">
      <c r="B115" s="24"/>
      <c r="C115" s="24"/>
      <c r="Q115" s="40"/>
      <c r="R115" s="40"/>
      <c r="S115" s="40"/>
      <c r="T115" s="40"/>
      <c r="U115" s="40"/>
      <c r="V115" s="40"/>
      <c r="W115" s="40"/>
    </row>
    <row r="116" ht="12.75" customHeight="1">
      <c r="B116" s="24"/>
      <c r="C116" s="24"/>
      <c r="Q116" s="40"/>
      <c r="R116" s="40"/>
      <c r="S116" s="40"/>
      <c r="T116" s="40"/>
      <c r="U116" s="40"/>
      <c r="V116" s="40"/>
      <c r="W116" s="40"/>
    </row>
    <row r="117" ht="12.75" customHeight="1">
      <c r="B117" s="24"/>
      <c r="C117" s="24"/>
      <c r="Q117" s="40"/>
      <c r="R117" s="40"/>
      <c r="S117" s="40"/>
      <c r="T117" s="40"/>
      <c r="U117" s="40"/>
      <c r="V117" s="40"/>
      <c r="W117" s="40"/>
    </row>
    <row r="118" ht="12.75" customHeight="1">
      <c r="B118" s="24"/>
      <c r="C118" s="24"/>
      <c r="Q118" s="40"/>
      <c r="R118" s="40"/>
      <c r="S118" s="40"/>
      <c r="T118" s="40"/>
      <c r="U118" s="40"/>
      <c r="V118" s="40"/>
      <c r="W118" s="40"/>
    </row>
    <row r="119" ht="12.75" customHeight="1">
      <c r="B119" s="24"/>
      <c r="C119" s="24"/>
      <c r="Q119" s="40"/>
      <c r="R119" s="40"/>
      <c r="S119" s="40"/>
      <c r="T119" s="40"/>
      <c r="U119" s="40"/>
      <c r="V119" s="40"/>
      <c r="W119" s="40"/>
    </row>
    <row r="120" ht="12.75" customHeight="1">
      <c r="B120" s="24"/>
      <c r="C120" s="24"/>
      <c r="Q120" s="40"/>
      <c r="R120" s="40"/>
      <c r="S120" s="40"/>
      <c r="T120" s="40"/>
      <c r="U120" s="40"/>
      <c r="V120" s="40"/>
      <c r="W120" s="40"/>
    </row>
    <row r="121" ht="12.75" customHeight="1">
      <c r="B121" s="24"/>
      <c r="C121" s="24"/>
      <c r="Q121" s="40"/>
      <c r="R121" s="40"/>
      <c r="S121" s="40"/>
      <c r="T121" s="40"/>
      <c r="U121" s="40"/>
      <c r="V121" s="40"/>
      <c r="W121" s="40"/>
    </row>
    <row r="122" ht="12.75" customHeight="1">
      <c r="B122" s="24"/>
      <c r="C122" s="24"/>
      <c r="Q122" s="40"/>
      <c r="R122" s="40"/>
      <c r="S122" s="40"/>
      <c r="T122" s="40"/>
      <c r="U122" s="40"/>
      <c r="V122" s="40"/>
      <c r="W122" s="40"/>
    </row>
    <row r="123" ht="12.75" customHeight="1">
      <c r="B123" s="24"/>
      <c r="C123" s="24"/>
      <c r="Q123" s="40"/>
      <c r="R123" s="40"/>
      <c r="S123" s="40"/>
      <c r="T123" s="40"/>
      <c r="U123" s="40"/>
      <c r="V123" s="40"/>
      <c r="W123" s="40"/>
    </row>
    <row r="124" ht="12.75" customHeight="1">
      <c r="B124" s="24"/>
      <c r="C124" s="24"/>
      <c r="Q124" s="40"/>
      <c r="R124" s="40"/>
      <c r="S124" s="40"/>
      <c r="T124" s="40"/>
      <c r="U124" s="40"/>
      <c r="V124" s="40"/>
      <c r="W124" s="40"/>
    </row>
    <row r="125" ht="12.75" customHeight="1">
      <c r="B125" s="24"/>
      <c r="C125" s="24"/>
      <c r="Q125" s="40"/>
      <c r="R125" s="40"/>
      <c r="S125" s="40"/>
      <c r="T125" s="40"/>
      <c r="U125" s="40"/>
      <c r="V125" s="40"/>
      <c r="W125" s="40"/>
    </row>
    <row r="126" ht="12.75" customHeight="1">
      <c r="B126" s="24"/>
      <c r="C126" s="24"/>
      <c r="Q126" s="40"/>
      <c r="R126" s="40"/>
      <c r="S126" s="40"/>
      <c r="T126" s="40"/>
      <c r="U126" s="40"/>
      <c r="V126" s="40"/>
      <c r="W126" s="40"/>
    </row>
    <row r="127" ht="12.75" customHeight="1">
      <c r="B127" s="24"/>
      <c r="C127" s="24"/>
      <c r="Q127" s="40"/>
      <c r="R127" s="40"/>
      <c r="S127" s="40"/>
      <c r="T127" s="40"/>
      <c r="U127" s="40"/>
      <c r="V127" s="40"/>
      <c r="W127" s="40"/>
    </row>
    <row r="128" ht="12.75" customHeight="1">
      <c r="B128" s="24"/>
      <c r="C128" s="24"/>
      <c r="Q128" s="40"/>
      <c r="R128" s="40"/>
      <c r="S128" s="40"/>
      <c r="T128" s="40"/>
      <c r="U128" s="40"/>
      <c r="V128" s="40"/>
      <c r="W128" s="40"/>
    </row>
    <row r="129" ht="12.75" customHeight="1">
      <c r="B129" s="24"/>
      <c r="C129" s="24"/>
      <c r="Q129" s="40"/>
      <c r="R129" s="40"/>
      <c r="S129" s="40"/>
      <c r="T129" s="40"/>
      <c r="U129" s="40"/>
      <c r="V129" s="40"/>
      <c r="W129" s="40"/>
    </row>
    <row r="130" ht="12.75" customHeight="1">
      <c r="B130" s="24"/>
      <c r="C130" s="24"/>
      <c r="Q130" s="40"/>
      <c r="R130" s="40"/>
      <c r="S130" s="40"/>
      <c r="T130" s="40"/>
      <c r="U130" s="40"/>
      <c r="V130" s="40"/>
      <c r="W130" s="40"/>
    </row>
    <row r="131" ht="12.75" customHeight="1">
      <c r="B131" s="24"/>
      <c r="C131" s="24"/>
      <c r="Q131" s="40"/>
      <c r="R131" s="40"/>
      <c r="S131" s="40"/>
      <c r="T131" s="40"/>
      <c r="U131" s="40"/>
      <c r="V131" s="40"/>
      <c r="W131" s="40"/>
    </row>
    <row r="132" ht="12.75" customHeight="1">
      <c r="B132" s="24"/>
      <c r="C132" s="24"/>
      <c r="Q132" s="40"/>
      <c r="R132" s="40"/>
      <c r="S132" s="40"/>
      <c r="T132" s="40"/>
      <c r="U132" s="40"/>
      <c r="V132" s="40"/>
      <c r="W132" s="40"/>
    </row>
    <row r="133" ht="12.75" customHeight="1">
      <c r="B133" s="24"/>
      <c r="C133" s="24"/>
      <c r="Q133" s="40"/>
      <c r="R133" s="40"/>
      <c r="S133" s="40"/>
      <c r="T133" s="40"/>
      <c r="U133" s="40"/>
      <c r="V133" s="40"/>
      <c r="W133" s="40"/>
    </row>
    <row r="134" ht="12.75" customHeight="1">
      <c r="B134" s="24"/>
      <c r="C134" s="24"/>
      <c r="Q134" s="40"/>
      <c r="R134" s="40"/>
      <c r="S134" s="40"/>
      <c r="T134" s="40"/>
      <c r="U134" s="40"/>
      <c r="V134" s="40"/>
      <c r="W134" s="40"/>
    </row>
    <row r="135" ht="12.75" customHeight="1">
      <c r="B135" s="24"/>
      <c r="C135" s="24"/>
      <c r="Q135" s="40"/>
      <c r="R135" s="40"/>
      <c r="S135" s="40"/>
      <c r="T135" s="40"/>
      <c r="U135" s="40"/>
      <c r="V135" s="40"/>
      <c r="W135" s="40"/>
    </row>
    <row r="136" ht="12.75" customHeight="1">
      <c r="B136" s="24"/>
      <c r="C136" s="24"/>
      <c r="Q136" s="40"/>
      <c r="R136" s="40"/>
      <c r="S136" s="40"/>
      <c r="T136" s="40"/>
      <c r="U136" s="40"/>
      <c r="V136" s="40"/>
      <c r="W136" s="40"/>
    </row>
    <row r="137" ht="12.75" customHeight="1">
      <c r="B137" s="24"/>
      <c r="C137" s="24"/>
      <c r="Q137" s="40"/>
      <c r="R137" s="40"/>
      <c r="S137" s="40"/>
      <c r="T137" s="40"/>
      <c r="U137" s="40"/>
      <c r="V137" s="40"/>
      <c r="W137" s="40"/>
    </row>
    <row r="138" ht="12.75" customHeight="1">
      <c r="B138" s="24"/>
      <c r="C138" s="24"/>
      <c r="Q138" s="40"/>
      <c r="R138" s="40"/>
      <c r="S138" s="40"/>
      <c r="T138" s="40"/>
      <c r="U138" s="40"/>
      <c r="V138" s="40"/>
      <c r="W138" s="40"/>
    </row>
    <row r="139" ht="12.75" customHeight="1">
      <c r="B139" s="24"/>
      <c r="C139" s="24"/>
      <c r="Q139" s="40"/>
      <c r="R139" s="40"/>
      <c r="S139" s="40"/>
      <c r="T139" s="40"/>
      <c r="U139" s="40"/>
      <c r="V139" s="40"/>
      <c r="W139" s="40"/>
    </row>
    <row r="140" ht="12.75" customHeight="1">
      <c r="B140" s="24"/>
      <c r="C140" s="24"/>
      <c r="Q140" s="40"/>
      <c r="R140" s="40"/>
      <c r="S140" s="40"/>
      <c r="T140" s="40"/>
      <c r="U140" s="40"/>
      <c r="V140" s="40"/>
      <c r="W140" s="40"/>
    </row>
    <row r="141" ht="12.75" customHeight="1">
      <c r="B141" s="24"/>
      <c r="C141" s="24"/>
      <c r="Q141" s="40"/>
      <c r="R141" s="40"/>
      <c r="S141" s="40"/>
      <c r="T141" s="40"/>
      <c r="U141" s="40"/>
      <c r="V141" s="40"/>
      <c r="W141" s="40"/>
    </row>
    <row r="142" ht="12.75" customHeight="1">
      <c r="B142" s="24"/>
      <c r="C142" s="24"/>
      <c r="Q142" s="40"/>
      <c r="R142" s="40"/>
      <c r="S142" s="40"/>
      <c r="T142" s="40"/>
      <c r="U142" s="40"/>
      <c r="V142" s="40"/>
      <c r="W142" s="40"/>
    </row>
    <row r="143" ht="12.75" customHeight="1">
      <c r="B143" s="24"/>
      <c r="C143" s="24"/>
      <c r="Q143" s="40"/>
      <c r="R143" s="40"/>
      <c r="S143" s="40"/>
      <c r="T143" s="40"/>
      <c r="U143" s="40"/>
      <c r="V143" s="40"/>
      <c r="W143" s="40"/>
    </row>
    <row r="144" ht="12.75" customHeight="1">
      <c r="B144" s="24"/>
      <c r="C144" s="24"/>
      <c r="Q144" s="40"/>
      <c r="R144" s="40"/>
      <c r="S144" s="40"/>
      <c r="T144" s="40"/>
      <c r="U144" s="40"/>
      <c r="V144" s="40"/>
      <c r="W144" s="40"/>
    </row>
    <row r="145" ht="12.75" customHeight="1">
      <c r="B145" s="24"/>
      <c r="C145" s="24"/>
      <c r="Q145" s="40"/>
      <c r="R145" s="40"/>
      <c r="S145" s="40"/>
      <c r="T145" s="40"/>
      <c r="U145" s="40"/>
      <c r="V145" s="40"/>
      <c r="W145" s="40"/>
    </row>
    <row r="146" ht="12.75" customHeight="1">
      <c r="B146" s="24"/>
      <c r="C146" s="24"/>
      <c r="Q146" s="40"/>
      <c r="R146" s="40"/>
      <c r="S146" s="40"/>
      <c r="T146" s="40"/>
      <c r="U146" s="40"/>
      <c r="V146" s="40"/>
      <c r="W146" s="40"/>
    </row>
    <row r="147" ht="12.75" customHeight="1">
      <c r="B147" s="24"/>
      <c r="C147" s="24"/>
      <c r="Q147" s="40"/>
      <c r="R147" s="40"/>
      <c r="S147" s="40"/>
      <c r="T147" s="40"/>
      <c r="U147" s="40"/>
      <c r="V147" s="40"/>
      <c r="W147" s="40"/>
    </row>
    <row r="148" ht="12.75" customHeight="1">
      <c r="B148" s="24"/>
      <c r="C148" s="24"/>
      <c r="Q148" s="40"/>
      <c r="R148" s="40"/>
      <c r="S148" s="40"/>
      <c r="T148" s="40"/>
      <c r="U148" s="40"/>
      <c r="V148" s="40"/>
      <c r="W148" s="40"/>
    </row>
    <row r="149" ht="12.75" customHeight="1">
      <c r="B149" s="24"/>
      <c r="C149" s="24"/>
      <c r="Q149" s="40"/>
      <c r="R149" s="40"/>
      <c r="S149" s="40"/>
      <c r="T149" s="40"/>
      <c r="U149" s="40"/>
      <c r="V149" s="40"/>
      <c r="W149" s="40"/>
    </row>
    <row r="150" ht="12.75" customHeight="1">
      <c r="B150" s="24"/>
      <c r="C150" s="24"/>
      <c r="Q150" s="40"/>
      <c r="R150" s="40"/>
      <c r="S150" s="40"/>
      <c r="T150" s="40"/>
      <c r="U150" s="40"/>
      <c r="V150" s="40"/>
      <c r="W150" s="40"/>
    </row>
    <row r="151" ht="12.75" customHeight="1">
      <c r="B151" s="24"/>
      <c r="C151" s="24"/>
      <c r="Q151" s="40"/>
      <c r="R151" s="40"/>
      <c r="S151" s="40"/>
      <c r="T151" s="40"/>
      <c r="U151" s="40"/>
      <c r="V151" s="40"/>
      <c r="W151" s="40"/>
    </row>
    <row r="152" ht="12.75" customHeight="1">
      <c r="B152" s="24"/>
      <c r="C152" s="24"/>
      <c r="Q152" s="40"/>
      <c r="R152" s="40"/>
      <c r="S152" s="40"/>
      <c r="T152" s="40"/>
      <c r="U152" s="40"/>
      <c r="V152" s="40"/>
      <c r="W152" s="40"/>
    </row>
    <row r="153" ht="12.75" customHeight="1">
      <c r="B153" s="24"/>
      <c r="C153" s="24"/>
      <c r="Q153" s="40"/>
      <c r="R153" s="40"/>
      <c r="S153" s="40"/>
      <c r="T153" s="40"/>
      <c r="U153" s="40"/>
      <c r="V153" s="40"/>
      <c r="W153" s="40"/>
    </row>
    <row r="154" ht="12.75" customHeight="1">
      <c r="B154" s="24"/>
      <c r="C154" s="24"/>
      <c r="Q154" s="40"/>
      <c r="R154" s="40"/>
      <c r="S154" s="40"/>
      <c r="T154" s="40"/>
      <c r="U154" s="40"/>
      <c r="V154" s="40"/>
      <c r="W154" s="40"/>
    </row>
    <row r="155" ht="12.75" customHeight="1">
      <c r="B155" s="24"/>
      <c r="C155" s="24"/>
      <c r="Q155" s="40"/>
      <c r="R155" s="40"/>
      <c r="S155" s="40"/>
      <c r="T155" s="40"/>
      <c r="U155" s="40"/>
      <c r="V155" s="40"/>
      <c r="W155" s="40"/>
    </row>
    <row r="156" ht="12.75" customHeight="1">
      <c r="B156" s="24"/>
      <c r="C156" s="24"/>
      <c r="Q156" s="40"/>
      <c r="R156" s="40"/>
      <c r="S156" s="40"/>
      <c r="T156" s="40"/>
      <c r="U156" s="40"/>
      <c r="V156" s="40"/>
      <c r="W156" s="40"/>
    </row>
    <row r="157" ht="12.75" customHeight="1">
      <c r="B157" s="24"/>
      <c r="C157" s="24"/>
      <c r="Q157" s="40"/>
      <c r="R157" s="40"/>
      <c r="S157" s="40"/>
      <c r="T157" s="40"/>
      <c r="U157" s="40"/>
      <c r="V157" s="40"/>
      <c r="W157" s="40"/>
    </row>
    <row r="158" ht="12.75" customHeight="1">
      <c r="B158" s="24"/>
      <c r="C158" s="24"/>
      <c r="Q158" s="40"/>
      <c r="R158" s="40"/>
      <c r="S158" s="40"/>
      <c r="T158" s="40"/>
      <c r="U158" s="40"/>
      <c r="V158" s="40"/>
      <c r="W158" s="40"/>
    </row>
    <row r="159" ht="12.75" customHeight="1">
      <c r="B159" s="24"/>
      <c r="C159" s="24"/>
      <c r="Q159" s="40"/>
      <c r="R159" s="40"/>
      <c r="S159" s="40"/>
      <c r="T159" s="40"/>
      <c r="U159" s="40"/>
      <c r="V159" s="40"/>
      <c r="W159" s="40"/>
    </row>
    <row r="160" ht="12.75" customHeight="1">
      <c r="B160" s="24"/>
      <c r="C160" s="24"/>
      <c r="Q160" s="40"/>
      <c r="R160" s="40"/>
      <c r="S160" s="40"/>
      <c r="T160" s="40"/>
      <c r="U160" s="40"/>
      <c r="V160" s="40"/>
      <c r="W160" s="40"/>
    </row>
    <row r="161" ht="12.75" customHeight="1">
      <c r="B161" s="24"/>
      <c r="C161" s="24"/>
      <c r="Q161" s="40"/>
      <c r="R161" s="40"/>
      <c r="S161" s="40"/>
      <c r="T161" s="40"/>
      <c r="U161" s="40"/>
      <c r="V161" s="40"/>
      <c r="W161" s="40"/>
    </row>
    <row r="162" ht="12.75" customHeight="1">
      <c r="B162" s="24"/>
      <c r="C162" s="24"/>
      <c r="Q162" s="40"/>
      <c r="R162" s="40"/>
      <c r="S162" s="40"/>
      <c r="T162" s="40"/>
      <c r="U162" s="40"/>
      <c r="V162" s="40"/>
      <c r="W162" s="40"/>
    </row>
    <row r="163" ht="12.75" customHeight="1">
      <c r="B163" s="24"/>
      <c r="C163" s="24"/>
      <c r="Q163" s="40"/>
      <c r="R163" s="40"/>
      <c r="S163" s="40"/>
      <c r="T163" s="40"/>
      <c r="U163" s="40"/>
      <c r="V163" s="40"/>
      <c r="W163" s="40"/>
    </row>
    <row r="164" ht="12.75" customHeight="1">
      <c r="B164" s="24"/>
      <c r="C164" s="24"/>
      <c r="Q164" s="40"/>
      <c r="R164" s="40"/>
      <c r="S164" s="40"/>
      <c r="T164" s="40"/>
      <c r="U164" s="40"/>
      <c r="V164" s="40"/>
      <c r="W164" s="40"/>
    </row>
    <row r="165" ht="12.75" customHeight="1">
      <c r="B165" s="24"/>
      <c r="C165" s="24"/>
      <c r="Q165" s="40"/>
      <c r="R165" s="40"/>
      <c r="S165" s="40"/>
      <c r="T165" s="40"/>
      <c r="U165" s="40"/>
      <c r="V165" s="40"/>
      <c r="W165" s="40"/>
    </row>
    <row r="166" ht="12.75" customHeight="1">
      <c r="B166" s="24"/>
      <c r="C166" s="24"/>
      <c r="Q166" s="40"/>
      <c r="R166" s="40"/>
      <c r="S166" s="40"/>
      <c r="T166" s="40"/>
      <c r="U166" s="40"/>
      <c r="V166" s="40"/>
      <c r="W166" s="40"/>
    </row>
    <row r="167" ht="12.75" customHeight="1">
      <c r="B167" s="24"/>
      <c r="C167" s="24"/>
      <c r="Q167" s="40"/>
      <c r="R167" s="40"/>
      <c r="S167" s="40"/>
      <c r="T167" s="40"/>
      <c r="U167" s="40"/>
      <c r="V167" s="40"/>
      <c r="W167" s="40"/>
    </row>
    <row r="168" ht="12.75" customHeight="1">
      <c r="B168" s="24"/>
      <c r="C168" s="24"/>
      <c r="Q168" s="40"/>
      <c r="R168" s="40"/>
      <c r="S168" s="40"/>
      <c r="T168" s="40"/>
      <c r="U168" s="40"/>
      <c r="V168" s="40"/>
      <c r="W168" s="40"/>
    </row>
    <row r="169" ht="12.75" customHeight="1">
      <c r="B169" s="24"/>
      <c r="C169" s="24"/>
      <c r="Q169" s="40"/>
      <c r="R169" s="40"/>
      <c r="S169" s="40"/>
      <c r="T169" s="40"/>
      <c r="U169" s="40"/>
      <c r="V169" s="40"/>
      <c r="W169" s="40"/>
    </row>
    <row r="170" ht="12.75" customHeight="1">
      <c r="B170" s="24"/>
      <c r="C170" s="24"/>
      <c r="Q170" s="40"/>
      <c r="R170" s="40"/>
      <c r="S170" s="40"/>
      <c r="T170" s="40"/>
      <c r="U170" s="40"/>
      <c r="V170" s="40"/>
      <c r="W170" s="40"/>
    </row>
    <row r="171" ht="12.75" customHeight="1">
      <c r="B171" s="24"/>
      <c r="C171" s="24"/>
      <c r="Q171" s="40"/>
      <c r="R171" s="40"/>
      <c r="S171" s="40"/>
      <c r="T171" s="40"/>
      <c r="U171" s="40"/>
      <c r="V171" s="40"/>
      <c r="W171" s="40"/>
    </row>
    <row r="172" ht="12.75" customHeight="1">
      <c r="B172" s="24"/>
      <c r="C172" s="24"/>
      <c r="Q172" s="40"/>
      <c r="R172" s="40"/>
      <c r="S172" s="40"/>
      <c r="T172" s="40"/>
      <c r="U172" s="40"/>
      <c r="V172" s="40"/>
      <c r="W172" s="40"/>
    </row>
    <row r="173" ht="12.75" customHeight="1">
      <c r="B173" s="24"/>
      <c r="C173" s="24"/>
      <c r="Q173" s="40"/>
      <c r="R173" s="40"/>
      <c r="S173" s="40"/>
      <c r="T173" s="40"/>
      <c r="U173" s="40"/>
      <c r="V173" s="40"/>
      <c r="W173" s="40"/>
    </row>
    <row r="174" ht="12.75" customHeight="1">
      <c r="B174" s="24"/>
      <c r="C174" s="24"/>
      <c r="Q174" s="40"/>
      <c r="R174" s="40"/>
      <c r="S174" s="40"/>
      <c r="T174" s="40"/>
      <c r="U174" s="40"/>
      <c r="V174" s="40"/>
      <c r="W174" s="40"/>
    </row>
    <row r="175" ht="12.75" customHeight="1">
      <c r="B175" s="24"/>
      <c r="C175" s="24"/>
      <c r="Q175" s="40"/>
      <c r="R175" s="40"/>
      <c r="S175" s="40"/>
      <c r="T175" s="40"/>
      <c r="U175" s="40"/>
      <c r="V175" s="40"/>
      <c r="W175" s="40"/>
    </row>
    <row r="176" ht="12.75" customHeight="1">
      <c r="B176" s="24"/>
      <c r="C176" s="24"/>
      <c r="Q176" s="40"/>
      <c r="R176" s="40"/>
      <c r="S176" s="40"/>
      <c r="T176" s="40"/>
      <c r="U176" s="40"/>
      <c r="V176" s="40"/>
      <c r="W176" s="40"/>
    </row>
    <row r="177" ht="12.75" customHeight="1">
      <c r="B177" s="24"/>
      <c r="C177" s="24"/>
      <c r="Q177" s="40"/>
      <c r="R177" s="40"/>
      <c r="S177" s="40"/>
      <c r="T177" s="40"/>
      <c r="U177" s="40"/>
      <c r="V177" s="40"/>
      <c r="W177" s="40"/>
    </row>
    <row r="178" ht="12.75" customHeight="1">
      <c r="B178" s="24"/>
      <c r="C178" s="24"/>
      <c r="Q178" s="40"/>
      <c r="R178" s="40"/>
      <c r="S178" s="40"/>
      <c r="T178" s="40"/>
      <c r="U178" s="40"/>
      <c r="V178" s="40"/>
      <c r="W178" s="40"/>
    </row>
    <row r="179" ht="12.75" customHeight="1">
      <c r="B179" s="24"/>
      <c r="C179" s="24"/>
      <c r="Q179" s="40"/>
      <c r="R179" s="40"/>
      <c r="S179" s="40"/>
      <c r="T179" s="40"/>
      <c r="U179" s="40"/>
      <c r="V179" s="40"/>
      <c r="W179" s="40"/>
    </row>
    <row r="180" ht="12.75" customHeight="1">
      <c r="B180" s="24"/>
      <c r="C180" s="24"/>
      <c r="Q180" s="40"/>
      <c r="R180" s="40"/>
      <c r="S180" s="40"/>
      <c r="T180" s="40"/>
      <c r="U180" s="40"/>
      <c r="V180" s="40"/>
      <c r="W180" s="40"/>
    </row>
    <row r="181" ht="12.75" customHeight="1">
      <c r="B181" s="24"/>
      <c r="C181" s="24"/>
      <c r="Q181" s="40"/>
      <c r="R181" s="40"/>
      <c r="S181" s="40"/>
      <c r="T181" s="40"/>
      <c r="U181" s="40"/>
      <c r="V181" s="40"/>
      <c r="W181" s="40"/>
    </row>
    <row r="182" ht="12.75" customHeight="1">
      <c r="B182" s="24"/>
      <c r="C182" s="24"/>
      <c r="Q182" s="40"/>
      <c r="R182" s="40"/>
      <c r="S182" s="40"/>
      <c r="T182" s="40"/>
      <c r="U182" s="40"/>
      <c r="V182" s="40"/>
      <c r="W182" s="40"/>
    </row>
    <row r="183" ht="12.75" customHeight="1">
      <c r="B183" s="24"/>
      <c r="C183" s="24"/>
      <c r="Q183" s="40"/>
      <c r="R183" s="40"/>
      <c r="S183" s="40"/>
      <c r="T183" s="40"/>
      <c r="U183" s="40"/>
      <c r="V183" s="40"/>
      <c r="W183" s="40"/>
    </row>
    <row r="184" ht="12.75" customHeight="1">
      <c r="B184" s="24"/>
      <c r="C184" s="24"/>
      <c r="Q184" s="40"/>
      <c r="R184" s="40"/>
      <c r="S184" s="40"/>
      <c r="T184" s="40"/>
      <c r="U184" s="40"/>
      <c r="V184" s="40"/>
      <c r="W184" s="40"/>
    </row>
    <row r="185" ht="12.75" customHeight="1">
      <c r="B185" s="24"/>
      <c r="C185" s="24"/>
      <c r="Q185" s="40"/>
      <c r="R185" s="40"/>
      <c r="S185" s="40"/>
      <c r="T185" s="40"/>
      <c r="U185" s="40"/>
      <c r="V185" s="40"/>
      <c r="W185" s="40"/>
    </row>
    <row r="186" ht="12.75" customHeight="1">
      <c r="B186" s="24"/>
      <c r="C186" s="24"/>
      <c r="Q186" s="40"/>
      <c r="R186" s="40"/>
      <c r="S186" s="40"/>
      <c r="T186" s="40"/>
      <c r="U186" s="40"/>
      <c r="V186" s="40"/>
      <c r="W186" s="40"/>
    </row>
    <row r="187" ht="12.75" customHeight="1">
      <c r="B187" s="24"/>
      <c r="C187" s="24"/>
      <c r="Q187" s="40"/>
      <c r="R187" s="40"/>
      <c r="S187" s="40"/>
      <c r="T187" s="40"/>
      <c r="U187" s="40"/>
      <c r="V187" s="40"/>
      <c r="W187" s="40"/>
    </row>
    <row r="188" ht="12.75" customHeight="1">
      <c r="B188" s="24"/>
      <c r="C188" s="24"/>
      <c r="Q188" s="40"/>
      <c r="R188" s="40"/>
      <c r="S188" s="40"/>
      <c r="T188" s="40"/>
      <c r="U188" s="40"/>
      <c r="V188" s="40"/>
      <c r="W188" s="40"/>
    </row>
    <row r="189" ht="12.75" customHeight="1">
      <c r="B189" s="24"/>
      <c r="C189" s="24"/>
      <c r="Q189" s="40"/>
      <c r="R189" s="40"/>
      <c r="S189" s="40"/>
      <c r="T189" s="40"/>
      <c r="U189" s="40"/>
      <c r="V189" s="40"/>
      <c r="W189" s="40"/>
    </row>
    <row r="190" ht="12.75" customHeight="1">
      <c r="B190" s="24"/>
      <c r="C190" s="24"/>
      <c r="Q190" s="40"/>
      <c r="R190" s="40"/>
      <c r="S190" s="40"/>
      <c r="T190" s="40"/>
      <c r="U190" s="40"/>
      <c r="V190" s="40"/>
      <c r="W190" s="40"/>
    </row>
    <row r="191" ht="12.75" customHeight="1">
      <c r="B191" s="24"/>
      <c r="C191" s="24"/>
      <c r="Q191" s="40"/>
      <c r="R191" s="40"/>
      <c r="S191" s="40"/>
      <c r="T191" s="40"/>
      <c r="U191" s="40"/>
      <c r="V191" s="40"/>
      <c r="W191" s="40"/>
    </row>
    <row r="192" ht="12.75" customHeight="1">
      <c r="B192" s="24"/>
      <c r="C192" s="24"/>
      <c r="Q192" s="40"/>
      <c r="R192" s="40"/>
      <c r="S192" s="40"/>
      <c r="T192" s="40"/>
      <c r="U192" s="40"/>
      <c r="V192" s="40"/>
      <c r="W192" s="40"/>
    </row>
    <row r="193" ht="12.75" customHeight="1">
      <c r="B193" s="24"/>
      <c r="C193" s="24"/>
      <c r="Q193" s="40"/>
      <c r="R193" s="40"/>
      <c r="S193" s="40"/>
      <c r="T193" s="40"/>
      <c r="U193" s="40"/>
      <c r="V193" s="40"/>
      <c r="W193" s="40"/>
    </row>
    <row r="194" ht="12.75" customHeight="1">
      <c r="B194" s="24"/>
      <c r="C194" s="24"/>
      <c r="Q194" s="40"/>
      <c r="R194" s="40"/>
      <c r="S194" s="40"/>
      <c r="T194" s="40"/>
      <c r="U194" s="40"/>
      <c r="V194" s="40"/>
      <c r="W194" s="40"/>
    </row>
    <row r="195" ht="12.75" customHeight="1">
      <c r="B195" s="24"/>
      <c r="C195" s="24"/>
      <c r="Q195" s="40"/>
      <c r="R195" s="40"/>
      <c r="S195" s="40"/>
      <c r="T195" s="40"/>
      <c r="U195" s="40"/>
      <c r="V195" s="40"/>
      <c r="W195" s="40"/>
    </row>
    <row r="196" ht="12.75" customHeight="1">
      <c r="B196" s="24"/>
      <c r="C196" s="24"/>
      <c r="Q196" s="40"/>
      <c r="R196" s="40"/>
      <c r="S196" s="40"/>
      <c r="T196" s="40"/>
      <c r="U196" s="40"/>
      <c r="V196" s="40"/>
      <c r="W196" s="40"/>
    </row>
    <row r="197" ht="12.75" customHeight="1">
      <c r="B197" s="24"/>
      <c r="C197" s="24"/>
      <c r="Q197" s="40"/>
      <c r="R197" s="40"/>
      <c r="S197" s="40"/>
      <c r="T197" s="40"/>
      <c r="U197" s="40"/>
      <c r="V197" s="40"/>
      <c r="W197" s="40"/>
    </row>
    <row r="198" ht="12.75" customHeight="1">
      <c r="B198" s="24"/>
      <c r="C198" s="24"/>
      <c r="Q198" s="40"/>
      <c r="R198" s="40"/>
      <c r="S198" s="40"/>
      <c r="T198" s="40"/>
      <c r="U198" s="40"/>
      <c r="V198" s="40"/>
      <c r="W198" s="40"/>
    </row>
    <row r="199" ht="12.75" customHeight="1">
      <c r="B199" s="24"/>
      <c r="C199" s="24"/>
      <c r="Q199" s="40"/>
      <c r="R199" s="40"/>
      <c r="S199" s="40"/>
      <c r="T199" s="40"/>
      <c r="U199" s="40"/>
      <c r="V199" s="40"/>
      <c r="W199" s="40"/>
    </row>
    <row r="200" ht="12.75" customHeight="1">
      <c r="B200" s="24"/>
      <c r="C200" s="24"/>
      <c r="Q200" s="40"/>
      <c r="R200" s="40"/>
      <c r="S200" s="40"/>
      <c r="T200" s="40"/>
      <c r="U200" s="40"/>
      <c r="V200" s="40"/>
      <c r="W200" s="40"/>
    </row>
    <row r="201" ht="12.75" customHeight="1">
      <c r="B201" s="24"/>
      <c r="C201" s="24"/>
      <c r="Q201" s="40"/>
      <c r="R201" s="40"/>
      <c r="S201" s="40"/>
      <c r="T201" s="40"/>
      <c r="U201" s="40"/>
      <c r="V201" s="40"/>
      <c r="W201" s="40"/>
    </row>
    <row r="202" ht="12.75" customHeight="1">
      <c r="B202" s="24"/>
      <c r="C202" s="24"/>
      <c r="Q202" s="40"/>
      <c r="R202" s="40"/>
      <c r="S202" s="40"/>
      <c r="T202" s="40"/>
      <c r="U202" s="40"/>
      <c r="V202" s="40"/>
      <c r="W202" s="40"/>
    </row>
    <row r="203" ht="12.75" customHeight="1">
      <c r="B203" s="24"/>
      <c r="C203" s="24"/>
      <c r="Q203" s="40"/>
      <c r="R203" s="40"/>
      <c r="S203" s="40"/>
      <c r="T203" s="40"/>
      <c r="U203" s="40"/>
      <c r="V203" s="40"/>
      <c r="W203" s="40"/>
    </row>
    <row r="204" ht="12.75" customHeight="1">
      <c r="B204" s="24"/>
      <c r="C204" s="24"/>
      <c r="Q204" s="40"/>
      <c r="R204" s="40"/>
      <c r="S204" s="40"/>
      <c r="T204" s="40"/>
      <c r="U204" s="40"/>
      <c r="V204" s="40"/>
      <c r="W204" s="40"/>
    </row>
    <row r="205" ht="12.75" customHeight="1">
      <c r="B205" s="24"/>
      <c r="C205" s="24"/>
      <c r="Q205" s="40"/>
      <c r="R205" s="40"/>
      <c r="S205" s="40"/>
      <c r="T205" s="40"/>
      <c r="U205" s="40"/>
      <c r="V205" s="40"/>
      <c r="W205" s="40"/>
    </row>
    <row r="206" ht="12.75" customHeight="1">
      <c r="B206" s="24"/>
      <c r="C206" s="24"/>
      <c r="Q206" s="40"/>
      <c r="R206" s="40"/>
      <c r="S206" s="40"/>
      <c r="T206" s="40"/>
      <c r="U206" s="40"/>
      <c r="V206" s="40"/>
      <c r="W206" s="40"/>
    </row>
    <row r="207" ht="12.75" customHeight="1">
      <c r="B207" s="24"/>
      <c r="C207" s="24"/>
      <c r="Q207" s="40"/>
      <c r="R207" s="40"/>
      <c r="S207" s="40"/>
      <c r="T207" s="40"/>
      <c r="U207" s="40"/>
      <c r="V207" s="40"/>
      <c r="W207" s="40"/>
    </row>
    <row r="208" ht="12.75" customHeight="1">
      <c r="B208" s="24"/>
      <c r="C208" s="24"/>
      <c r="Q208" s="40"/>
      <c r="R208" s="40"/>
      <c r="S208" s="40"/>
      <c r="T208" s="40"/>
      <c r="U208" s="40"/>
      <c r="V208" s="40"/>
      <c r="W208" s="40"/>
    </row>
    <row r="209" ht="12.75" customHeight="1">
      <c r="B209" s="24"/>
      <c r="C209" s="24"/>
      <c r="Q209" s="40"/>
      <c r="R209" s="40"/>
      <c r="S209" s="40"/>
      <c r="T209" s="40"/>
      <c r="U209" s="40"/>
      <c r="V209" s="40"/>
      <c r="W209" s="40"/>
    </row>
    <row r="210" ht="12.75" customHeight="1">
      <c r="B210" s="24"/>
      <c r="C210" s="24"/>
      <c r="Q210" s="40"/>
      <c r="R210" s="40"/>
      <c r="S210" s="40"/>
      <c r="T210" s="40"/>
      <c r="U210" s="40"/>
      <c r="V210" s="40"/>
      <c r="W210" s="40"/>
    </row>
    <row r="211" ht="12.75" customHeight="1">
      <c r="B211" s="24"/>
      <c r="C211" s="24"/>
      <c r="Q211" s="40"/>
      <c r="R211" s="40"/>
      <c r="S211" s="40"/>
      <c r="T211" s="40"/>
      <c r="U211" s="40"/>
      <c r="V211" s="40"/>
      <c r="W211" s="40"/>
    </row>
    <row r="212" ht="12.75" customHeight="1">
      <c r="B212" s="24"/>
      <c r="C212" s="24"/>
      <c r="Q212" s="40"/>
      <c r="R212" s="40"/>
      <c r="S212" s="40"/>
      <c r="T212" s="40"/>
      <c r="U212" s="40"/>
      <c r="V212" s="40"/>
      <c r="W212" s="40"/>
    </row>
    <row r="213" ht="12.75" customHeight="1">
      <c r="B213" s="24"/>
      <c r="C213" s="24"/>
      <c r="Q213" s="40"/>
      <c r="R213" s="40"/>
      <c r="S213" s="40"/>
      <c r="T213" s="40"/>
      <c r="U213" s="40"/>
      <c r="V213" s="40"/>
      <c r="W213" s="40"/>
    </row>
    <row r="214" ht="12.75" customHeight="1">
      <c r="B214" s="24"/>
      <c r="C214" s="24"/>
      <c r="Q214" s="40"/>
      <c r="R214" s="40"/>
      <c r="S214" s="40"/>
      <c r="T214" s="40"/>
      <c r="U214" s="40"/>
      <c r="V214" s="40"/>
      <c r="W214" s="40"/>
    </row>
    <row r="215" ht="12.75" customHeight="1">
      <c r="B215" s="24"/>
      <c r="C215" s="24"/>
      <c r="Q215" s="40"/>
      <c r="R215" s="40"/>
      <c r="S215" s="40"/>
      <c r="T215" s="40"/>
      <c r="U215" s="40"/>
      <c r="V215" s="40"/>
      <c r="W215" s="40"/>
    </row>
    <row r="216" ht="12.75" customHeight="1">
      <c r="B216" s="24"/>
      <c r="C216" s="24"/>
      <c r="Q216" s="40"/>
      <c r="R216" s="40"/>
      <c r="S216" s="40"/>
      <c r="T216" s="40"/>
      <c r="U216" s="40"/>
      <c r="V216" s="40"/>
      <c r="W216" s="40"/>
    </row>
    <row r="217" ht="12.75" customHeight="1">
      <c r="B217" s="24"/>
      <c r="C217" s="24"/>
      <c r="Q217" s="40"/>
      <c r="R217" s="40"/>
      <c r="S217" s="40"/>
      <c r="T217" s="40"/>
      <c r="U217" s="40"/>
      <c r="V217" s="40"/>
      <c r="W217" s="40"/>
    </row>
    <row r="218" ht="12.75" customHeight="1">
      <c r="B218" s="24"/>
      <c r="C218" s="24"/>
      <c r="Q218" s="40"/>
      <c r="R218" s="40"/>
      <c r="S218" s="40"/>
      <c r="T218" s="40"/>
      <c r="U218" s="40"/>
      <c r="V218" s="40"/>
      <c r="W218" s="40"/>
    </row>
    <row r="219" ht="12.75" customHeight="1">
      <c r="B219" s="24"/>
      <c r="C219" s="24"/>
      <c r="Q219" s="40"/>
      <c r="R219" s="40"/>
      <c r="S219" s="40"/>
      <c r="T219" s="40"/>
      <c r="U219" s="40"/>
      <c r="V219" s="40"/>
      <c r="W219" s="40"/>
    </row>
    <row r="220" ht="12.75" customHeight="1">
      <c r="B220" s="24"/>
      <c r="C220" s="24"/>
      <c r="Q220" s="40"/>
      <c r="R220" s="40"/>
      <c r="S220" s="40"/>
      <c r="T220" s="40"/>
      <c r="U220" s="40"/>
      <c r="V220" s="40"/>
      <c r="W220" s="40"/>
    </row>
    <row r="221" ht="12.75" customHeight="1">
      <c r="B221" s="24"/>
      <c r="C221" s="24"/>
      <c r="Q221" s="40"/>
      <c r="R221" s="40"/>
      <c r="S221" s="40"/>
      <c r="T221" s="40"/>
      <c r="U221" s="40"/>
      <c r="V221" s="40"/>
      <c r="W221" s="40"/>
    </row>
    <row r="222" ht="12.75" customHeight="1">
      <c r="B222" s="24"/>
      <c r="C222" s="24"/>
      <c r="Q222" s="40"/>
      <c r="R222" s="40"/>
      <c r="S222" s="40"/>
      <c r="T222" s="40"/>
      <c r="U222" s="40"/>
      <c r="V222" s="40"/>
      <c r="W222" s="40"/>
    </row>
    <row r="223" ht="12.75" customHeight="1">
      <c r="B223" s="24"/>
      <c r="C223" s="24"/>
      <c r="Q223" s="40"/>
      <c r="R223" s="40"/>
      <c r="S223" s="40"/>
      <c r="T223" s="40"/>
      <c r="U223" s="40"/>
      <c r="V223" s="40"/>
      <c r="W223" s="40"/>
    </row>
    <row r="224" ht="12.75" customHeight="1">
      <c r="B224" s="24"/>
      <c r="C224" s="24"/>
      <c r="Q224" s="40"/>
      <c r="R224" s="40"/>
      <c r="S224" s="40"/>
      <c r="T224" s="40"/>
      <c r="U224" s="40"/>
      <c r="V224" s="40"/>
      <c r="W224" s="40"/>
    </row>
    <row r="225" ht="12.75" customHeight="1">
      <c r="B225" s="24"/>
      <c r="C225" s="24"/>
      <c r="Q225" s="40"/>
      <c r="R225" s="40"/>
      <c r="S225" s="40"/>
      <c r="T225" s="40"/>
      <c r="U225" s="40"/>
      <c r="V225" s="40"/>
      <c r="W225" s="40"/>
    </row>
    <row r="226" ht="12.75" customHeight="1">
      <c r="B226" s="24"/>
      <c r="C226" s="24"/>
      <c r="Q226" s="40"/>
      <c r="R226" s="40"/>
      <c r="S226" s="40"/>
      <c r="T226" s="40"/>
      <c r="U226" s="40"/>
      <c r="V226" s="40"/>
      <c r="W226" s="40"/>
    </row>
    <row r="227" ht="12.75" customHeight="1">
      <c r="B227" s="24"/>
      <c r="C227" s="24"/>
      <c r="Q227" s="40"/>
      <c r="R227" s="40"/>
      <c r="S227" s="40"/>
      <c r="T227" s="40"/>
      <c r="U227" s="40"/>
      <c r="V227" s="40"/>
      <c r="W227" s="40"/>
    </row>
    <row r="228" ht="12.75" customHeight="1">
      <c r="B228" s="24"/>
      <c r="C228" s="24"/>
      <c r="Q228" s="40"/>
      <c r="R228" s="40"/>
      <c r="S228" s="40"/>
      <c r="T228" s="40"/>
      <c r="U228" s="40"/>
      <c r="V228" s="40"/>
      <c r="W228" s="40"/>
    </row>
    <row r="229" ht="12.75" customHeight="1">
      <c r="B229" s="24"/>
      <c r="C229" s="24"/>
      <c r="Q229" s="40"/>
      <c r="R229" s="40"/>
      <c r="S229" s="40"/>
      <c r="T229" s="40"/>
      <c r="U229" s="40"/>
      <c r="V229" s="40"/>
      <c r="W229" s="40"/>
    </row>
    <row r="230" ht="12.75" customHeight="1">
      <c r="B230" s="24"/>
      <c r="C230" s="24"/>
      <c r="Q230" s="40"/>
      <c r="R230" s="40"/>
      <c r="S230" s="40"/>
      <c r="T230" s="40"/>
      <c r="U230" s="40"/>
      <c r="V230" s="40"/>
      <c r="W230" s="40"/>
    </row>
    <row r="231" ht="12.75" customHeight="1">
      <c r="B231" s="24"/>
      <c r="C231" s="24"/>
      <c r="Q231" s="40"/>
      <c r="R231" s="40"/>
      <c r="S231" s="40"/>
      <c r="T231" s="40"/>
      <c r="U231" s="40"/>
      <c r="V231" s="40"/>
      <c r="W231" s="40"/>
    </row>
    <row r="232" ht="12.75" customHeight="1">
      <c r="B232" s="24"/>
      <c r="C232" s="24"/>
      <c r="Q232" s="40"/>
      <c r="R232" s="40"/>
      <c r="S232" s="40"/>
      <c r="T232" s="40"/>
      <c r="U232" s="40"/>
      <c r="V232" s="40"/>
      <c r="W232" s="40"/>
    </row>
    <row r="233" ht="12.75" customHeight="1">
      <c r="B233" s="24"/>
      <c r="C233" s="24"/>
      <c r="Q233" s="40"/>
      <c r="R233" s="40"/>
      <c r="S233" s="40"/>
      <c r="T233" s="40"/>
      <c r="U233" s="40"/>
      <c r="V233" s="40"/>
      <c r="W233" s="40"/>
    </row>
    <row r="234" ht="12.75" customHeight="1">
      <c r="B234" s="24"/>
      <c r="C234" s="24"/>
      <c r="Q234" s="40"/>
      <c r="R234" s="40"/>
      <c r="S234" s="40"/>
      <c r="T234" s="40"/>
      <c r="U234" s="40"/>
      <c r="V234" s="40"/>
      <c r="W234" s="40"/>
    </row>
    <row r="235" ht="12.75" customHeight="1">
      <c r="B235" s="24"/>
      <c r="C235" s="24"/>
      <c r="Q235" s="40"/>
      <c r="R235" s="40"/>
      <c r="S235" s="40"/>
      <c r="T235" s="40"/>
      <c r="U235" s="40"/>
      <c r="V235" s="40"/>
      <c r="W235" s="40"/>
    </row>
    <row r="236" ht="12.75" customHeight="1">
      <c r="B236" s="24"/>
      <c r="C236" s="24"/>
      <c r="Q236" s="40"/>
      <c r="R236" s="40"/>
      <c r="S236" s="40"/>
      <c r="T236" s="40"/>
      <c r="U236" s="40"/>
      <c r="V236" s="40"/>
      <c r="W236" s="40"/>
    </row>
    <row r="237" ht="12.75" customHeight="1">
      <c r="B237" s="24"/>
      <c r="C237" s="24"/>
      <c r="Q237" s="40"/>
      <c r="R237" s="40"/>
      <c r="S237" s="40"/>
      <c r="T237" s="40"/>
      <c r="U237" s="40"/>
      <c r="V237" s="40"/>
      <c r="W237" s="40"/>
    </row>
    <row r="238" ht="12.75" customHeight="1">
      <c r="B238" s="24"/>
      <c r="C238" s="24"/>
      <c r="Q238" s="40"/>
      <c r="R238" s="40"/>
      <c r="S238" s="40"/>
      <c r="T238" s="40"/>
      <c r="U238" s="40"/>
      <c r="V238" s="40"/>
      <c r="W238" s="40"/>
    </row>
    <row r="239" ht="12.75" customHeight="1">
      <c r="B239" s="24"/>
      <c r="C239" s="24"/>
      <c r="Q239" s="40"/>
      <c r="R239" s="40"/>
      <c r="S239" s="40"/>
      <c r="T239" s="40"/>
      <c r="U239" s="40"/>
      <c r="V239" s="40"/>
      <c r="W239" s="40"/>
    </row>
    <row r="240" ht="12.75" customHeight="1">
      <c r="B240" s="24"/>
      <c r="C240" s="24"/>
      <c r="Q240" s="40"/>
      <c r="R240" s="40"/>
      <c r="S240" s="40"/>
      <c r="T240" s="40"/>
      <c r="U240" s="40"/>
      <c r="V240" s="40"/>
      <c r="W240" s="40"/>
    </row>
    <row r="241" ht="12.75" customHeight="1">
      <c r="B241" s="24"/>
      <c r="C241" s="24"/>
      <c r="Q241" s="40"/>
      <c r="R241" s="40"/>
      <c r="S241" s="40"/>
      <c r="T241" s="40"/>
      <c r="U241" s="40"/>
      <c r="V241" s="40"/>
      <c r="W241" s="40"/>
    </row>
    <row r="242" ht="12.75" customHeight="1">
      <c r="B242" s="24"/>
      <c r="C242" s="24"/>
      <c r="Q242" s="40"/>
      <c r="R242" s="40"/>
      <c r="S242" s="40"/>
      <c r="T242" s="40"/>
      <c r="U242" s="40"/>
      <c r="V242" s="40"/>
      <c r="W242" s="40"/>
    </row>
    <row r="243" ht="12.75" customHeight="1">
      <c r="B243" s="24"/>
      <c r="C243" s="24"/>
      <c r="Q243" s="40"/>
      <c r="R243" s="40"/>
      <c r="S243" s="40"/>
      <c r="T243" s="40"/>
      <c r="U243" s="40"/>
      <c r="V243" s="40"/>
      <c r="W243" s="40"/>
    </row>
    <row r="244" ht="12.75" customHeight="1">
      <c r="B244" s="24"/>
      <c r="C244" s="24"/>
      <c r="Q244" s="40"/>
      <c r="R244" s="40"/>
      <c r="S244" s="40"/>
      <c r="T244" s="40"/>
      <c r="U244" s="40"/>
      <c r="V244" s="40"/>
      <c r="W244" s="40"/>
    </row>
    <row r="245" ht="12.75" customHeight="1">
      <c r="B245" s="24"/>
      <c r="C245" s="24"/>
      <c r="Q245" s="40"/>
      <c r="R245" s="40"/>
      <c r="S245" s="40"/>
      <c r="T245" s="40"/>
      <c r="U245" s="40"/>
      <c r="V245" s="40"/>
      <c r="W245" s="40"/>
    </row>
    <row r="246" ht="12.75" customHeight="1">
      <c r="B246" s="24"/>
      <c r="C246" s="24"/>
      <c r="Q246" s="40"/>
      <c r="R246" s="40"/>
      <c r="S246" s="40"/>
      <c r="T246" s="40"/>
      <c r="U246" s="40"/>
      <c r="V246" s="40"/>
      <c r="W246" s="40"/>
    </row>
    <row r="247" ht="12.75" customHeight="1">
      <c r="B247" s="24"/>
      <c r="C247" s="24"/>
      <c r="Q247" s="40"/>
      <c r="R247" s="40"/>
      <c r="S247" s="40"/>
      <c r="T247" s="40"/>
      <c r="U247" s="40"/>
      <c r="V247" s="40"/>
      <c r="W247" s="40"/>
    </row>
    <row r="248" ht="12.75" customHeight="1">
      <c r="B248" s="24"/>
      <c r="C248" s="24"/>
      <c r="Q248" s="40"/>
      <c r="R248" s="40"/>
      <c r="S248" s="40"/>
      <c r="T248" s="40"/>
      <c r="U248" s="40"/>
      <c r="V248" s="40"/>
      <c r="W248" s="40"/>
    </row>
    <row r="249" ht="12.75" customHeight="1">
      <c r="B249" s="24"/>
      <c r="C249" s="24"/>
      <c r="Q249" s="40"/>
      <c r="R249" s="40"/>
      <c r="S249" s="40"/>
      <c r="T249" s="40"/>
      <c r="U249" s="40"/>
      <c r="V249" s="40"/>
      <c r="W249" s="40"/>
    </row>
    <row r="250" ht="12.75" customHeight="1">
      <c r="B250" s="24"/>
      <c r="C250" s="24"/>
      <c r="Q250" s="40"/>
      <c r="R250" s="40"/>
      <c r="S250" s="40"/>
      <c r="T250" s="40"/>
      <c r="U250" s="40"/>
      <c r="V250" s="40"/>
      <c r="W250" s="40"/>
    </row>
    <row r="251" ht="12.75" customHeight="1">
      <c r="B251" s="24"/>
      <c r="C251" s="24"/>
      <c r="Q251" s="40"/>
      <c r="R251" s="40"/>
      <c r="S251" s="40"/>
      <c r="T251" s="40"/>
      <c r="U251" s="40"/>
      <c r="V251" s="40"/>
      <c r="W251" s="40"/>
    </row>
    <row r="252" ht="12.75" customHeight="1">
      <c r="B252" s="24"/>
      <c r="C252" s="24"/>
      <c r="Q252" s="40"/>
      <c r="R252" s="40"/>
      <c r="S252" s="40"/>
      <c r="T252" s="40"/>
      <c r="U252" s="40"/>
      <c r="V252" s="40"/>
      <c r="W252" s="40"/>
    </row>
    <row r="253" ht="12.75" customHeight="1">
      <c r="B253" s="24"/>
      <c r="C253" s="24"/>
      <c r="Q253" s="40"/>
      <c r="R253" s="40"/>
      <c r="S253" s="40"/>
      <c r="T253" s="40"/>
      <c r="U253" s="40"/>
      <c r="V253" s="40"/>
      <c r="W253" s="40"/>
    </row>
    <row r="254" ht="12.75" customHeight="1">
      <c r="B254" s="24"/>
      <c r="C254" s="24"/>
      <c r="Q254" s="40"/>
      <c r="R254" s="40"/>
      <c r="S254" s="40"/>
      <c r="T254" s="40"/>
      <c r="U254" s="40"/>
      <c r="V254" s="40"/>
      <c r="W254" s="40"/>
    </row>
    <row r="255" ht="12.75" customHeight="1">
      <c r="B255" s="24"/>
      <c r="C255" s="24"/>
      <c r="Q255" s="40"/>
      <c r="R255" s="40"/>
      <c r="S255" s="40"/>
      <c r="T255" s="40"/>
      <c r="U255" s="40"/>
      <c r="V255" s="40"/>
      <c r="W255" s="40"/>
    </row>
    <row r="256" ht="12.75" customHeight="1">
      <c r="B256" s="24"/>
      <c r="C256" s="24"/>
      <c r="Q256" s="40"/>
      <c r="R256" s="40"/>
      <c r="S256" s="40"/>
      <c r="T256" s="40"/>
      <c r="U256" s="40"/>
      <c r="V256" s="40"/>
      <c r="W256" s="40"/>
    </row>
    <row r="257" ht="12.75" customHeight="1">
      <c r="B257" s="24"/>
      <c r="C257" s="24"/>
      <c r="Q257" s="40"/>
      <c r="R257" s="40"/>
      <c r="S257" s="40"/>
      <c r="T257" s="40"/>
      <c r="U257" s="40"/>
      <c r="V257" s="40"/>
      <c r="W257" s="40"/>
    </row>
    <row r="258" ht="12.75" customHeight="1">
      <c r="B258" s="24"/>
      <c r="C258" s="24"/>
      <c r="Q258" s="40"/>
      <c r="R258" s="40"/>
      <c r="S258" s="40"/>
      <c r="T258" s="40"/>
      <c r="U258" s="40"/>
      <c r="V258" s="40"/>
      <c r="W258" s="40"/>
    </row>
    <row r="259" ht="12.75" customHeight="1">
      <c r="B259" s="24"/>
      <c r="C259" s="24"/>
      <c r="Q259" s="40"/>
      <c r="R259" s="40"/>
      <c r="S259" s="40"/>
      <c r="T259" s="40"/>
      <c r="U259" s="40"/>
      <c r="V259" s="40"/>
      <c r="W259" s="40"/>
    </row>
    <row r="260" ht="12.75" customHeight="1">
      <c r="B260" s="24"/>
      <c r="C260" s="24"/>
      <c r="Q260" s="40"/>
      <c r="R260" s="40"/>
      <c r="S260" s="40"/>
      <c r="T260" s="40"/>
      <c r="U260" s="40"/>
      <c r="V260" s="40"/>
      <c r="W260" s="40"/>
    </row>
    <row r="261" ht="12.75" customHeight="1">
      <c r="B261" s="24"/>
      <c r="C261" s="24"/>
      <c r="Q261" s="40"/>
      <c r="R261" s="40"/>
      <c r="S261" s="40"/>
      <c r="T261" s="40"/>
      <c r="U261" s="40"/>
      <c r="V261" s="40"/>
      <c r="W261" s="40"/>
    </row>
    <row r="262" ht="12.75" customHeight="1">
      <c r="B262" s="24"/>
      <c r="C262" s="24"/>
      <c r="Q262" s="40"/>
      <c r="R262" s="40"/>
      <c r="S262" s="40"/>
      <c r="T262" s="40"/>
      <c r="U262" s="40"/>
      <c r="V262" s="40"/>
      <c r="W262" s="40"/>
    </row>
    <row r="263" ht="12.75" customHeight="1">
      <c r="B263" s="24"/>
      <c r="C263" s="24"/>
      <c r="Q263" s="40"/>
      <c r="R263" s="40"/>
      <c r="S263" s="40"/>
      <c r="T263" s="40"/>
      <c r="U263" s="40"/>
      <c r="V263" s="40"/>
      <c r="W263" s="40"/>
    </row>
    <row r="264" ht="12.75" customHeight="1">
      <c r="B264" s="24"/>
      <c r="C264" s="24"/>
      <c r="Q264" s="40"/>
      <c r="R264" s="40"/>
      <c r="S264" s="40"/>
      <c r="T264" s="40"/>
      <c r="U264" s="40"/>
      <c r="V264" s="40"/>
      <c r="W264" s="40"/>
    </row>
    <row r="265" ht="12.75" customHeight="1">
      <c r="B265" s="24"/>
      <c r="C265" s="24"/>
      <c r="Q265" s="40"/>
      <c r="R265" s="40"/>
      <c r="S265" s="40"/>
      <c r="T265" s="40"/>
      <c r="U265" s="40"/>
      <c r="V265" s="40"/>
      <c r="W265" s="40"/>
    </row>
    <row r="266" ht="12.75" customHeight="1">
      <c r="B266" s="24"/>
      <c r="C266" s="24"/>
      <c r="Q266" s="40"/>
      <c r="R266" s="40"/>
      <c r="S266" s="40"/>
      <c r="T266" s="40"/>
      <c r="U266" s="40"/>
      <c r="V266" s="40"/>
      <c r="W266" s="40"/>
    </row>
    <row r="267" ht="12.75" customHeight="1">
      <c r="B267" s="24"/>
      <c r="C267" s="24"/>
      <c r="Q267" s="40"/>
      <c r="R267" s="40"/>
      <c r="S267" s="40"/>
      <c r="T267" s="40"/>
      <c r="U267" s="40"/>
      <c r="V267" s="40"/>
      <c r="W267" s="40"/>
    </row>
    <row r="268" ht="12.75" customHeight="1">
      <c r="B268" s="24"/>
      <c r="C268" s="24"/>
      <c r="Q268" s="40"/>
      <c r="R268" s="40"/>
      <c r="S268" s="40"/>
      <c r="T268" s="40"/>
      <c r="U268" s="40"/>
      <c r="V268" s="40"/>
      <c r="W268" s="40"/>
    </row>
    <row r="269" ht="12.75" customHeight="1">
      <c r="B269" s="24"/>
      <c r="C269" s="24"/>
      <c r="Q269" s="40"/>
      <c r="R269" s="40"/>
      <c r="S269" s="40"/>
      <c r="T269" s="40"/>
      <c r="U269" s="40"/>
      <c r="V269" s="40"/>
      <c r="W269" s="40"/>
    </row>
    <row r="270" ht="12.75" customHeight="1">
      <c r="B270" s="24"/>
      <c r="C270" s="24"/>
      <c r="Q270" s="40"/>
      <c r="R270" s="40"/>
      <c r="S270" s="40"/>
      <c r="T270" s="40"/>
      <c r="U270" s="40"/>
      <c r="V270" s="40"/>
      <c r="W270" s="40"/>
    </row>
    <row r="271" ht="12.75" customHeight="1">
      <c r="B271" s="24"/>
      <c r="C271" s="24"/>
      <c r="Q271" s="40"/>
      <c r="R271" s="40"/>
      <c r="S271" s="40"/>
      <c r="T271" s="40"/>
      <c r="U271" s="40"/>
      <c r="V271" s="40"/>
      <c r="W271" s="40"/>
    </row>
    <row r="272" ht="12.75" customHeight="1">
      <c r="B272" s="24"/>
      <c r="C272" s="24"/>
      <c r="Q272" s="40"/>
      <c r="R272" s="40"/>
      <c r="S272" s="40"/>
      <c r="T272" s="40"/>
      <c r="U272" s="40"/>
      <c r="V272" s="40"/>
      <c r="W272" s="40"/>
    </row>
    <row r="273" ht="12.75" customHeight="1">
      <c r="B273" s="24"/>
      <c r="C273" s="24"/>
      <c r="Q273" s="40"/>
      <c r="R273" s="40"/>
      <c r="S273" s="40"/>
      <c r="T273" s="40"/>
      <c r="U273" s="40"/>
      <c r="V273" s="40"/>
      <c r="W273" s="40"/>
    </row>
    <row r="274" ht="12.75" customHeight="1">
      <c r="B274" s="24"/>
      <c r="C274" s="24"/>
      <c r="Q274" s="40"/>
      <c r="R274" s="40"/>
      <c r="S274" s="40"/>
      <c r="T274" s="40"/>
      <c r="U274" s="40"/>
      <c r="V274" s="40"/>
      <c r="W274" s="40"/>
    </row>
    <row r="275" ht="12.75" customHeight="1">
      <c r="B275" s="24"/>
      <c r="C275" s="24"/>
      <c r="Q275" s="40"/>
      <c r="R275" s="40"/>
      <c r="S275" s="40"/>
      <c r="T275" s="40"/>
      <c r="U275" s="40"/>
      <c r="V275" s="40"/>
      <c r="W275" s="40"/>
    </row>
    <row r="276" ht="12.75" customHeight="1">
      <c r="B276" s="24"/>
      <c r="C276" s="24"/>
      <c r="Q276" s="40"/>
      <c r="R276" s="40"/>
      <c r="S276" s="40"/>
      <c r="T276" s="40"/>
      <c r="U276" s="40"/>
      <c r="V276" s="40"/>
      <c r="W276" s="40"/>
    </row>
    <row r="277" ht="12.75" customHeight="1">
      <c r="B277" s="24"/>
      <c r="C277" s="24"/>
      <c r="Q277" s="40"/>
      <c r="R277" s="40"/>
      <c r="S277" s="40"/>
      <c r="T277" s="40"/>
      <c r="U277" s="40"/>
      <c r="V277" s="40"/>
      <c r="W277" s="40"/>
    </row>
    <row r="278" ht="12.75" customHeight="1">
      <c r="B278" s="24"/>
      <c r="C278" s="24"/>
      <c r="Q278" s="40"/>
      <c r="R278" s="40"/>
      <c r="S278" s="40"/>
      <c r="T278" s="40"/>
      <c r="U278" s="40"/>
      <c r="V278" s="40"/>
      <c r="W278" s="40"/>
    </row>
    <row r="279" ht="12.75" customHeight="1">
      <c r="B279" s="24"/>
      <c r="C279" s="24"/>
      <c r="Q279" s="40"/>
      <c r="R279" s="40"/>
      <c r="S279" s="40"/>
      <c r="T279" s="40"/>
      <c r="U279" s="40"/>
      <c r="V279" s="40"/>
      <c r="W279" s="40"/>
    </row>
    <row r="280" ht="12.75" customHeight="1">
      <c r="B280" s="24"/>
      <c r="C280" s="24"/>
      <c r="Q280" s="40"/>
      <c r="R280" s="40"/>
      <c r="S280" s="40"/>
      <c r="T280" s="40"/>
      <c r="U280" s="40"/>
      <c r="V280" s="40"/>
      <c r="W280" s="40"/>
    </row>
    <row r="281" ht="12.75" customHeight="1">
      <c r="B281" s="24"/>
      <c r="C281" s="24"/>
      <c r="Q281" s="40"/>
      <c r="R281" s="40"/>
      <c r="S281" s="40"/>
      <c r="T281" s="40"/>
      <c r="U281" s="40"/>
      <c r="V281" s="40"/>
      <c r="W281" s="40"/>
    </row>
    <row r="282" ht="12.75" customHeight="1">
      <c r="B282" s="24"/>
      <c r="C282" s="24"/>
      <c r="Q282" s="40"/>
      <c r="R282" s="40"/>
      <c r="S282" s="40"/>
      <c r="T282" s="40"/>
      <c r="U282" s="40"/>
      <c r="V282" s="40"/>
      <c r="W282" s="40"/>
    </row>
    <row r="283" ht="12.75" customHeight="1">
      <c r="B283" s="24"/>
      <c r="C283" s="24"/>
      <c r="Q283" s="40"/>
      <c r="R283" s="40"/>
      <c r="S283" s="40"/>
      <c r="T283" s="40"/>
      <c r="U283" s="40"/>
      <c r="V283" s="40"/>
      <c r="W283" s="40"/>
    </row>
    <row r="284" ht="12.75" customHeight="1">
      <c r="B284" s="24"/>
      <c r="C284" s="24"/>
      <c r="Q284" s="40"/>
      <c r="R284" s="40"/>
      <c r="S284" s="40"/>
      <c r="T284" s="40"/>
      <c r="U284" s="40"/>
      <c r="V284" s="40"/>
      <c r="W284" s="40"/>
    </row>
    <row r="285" ht="12.75" customHeight="1">
      <c r="B285" s="24"/>
      <c r="C285" s="24"/>
      <c r="Q285" s="40"/>
      <c r="R285" s="40"/>
      <c r="S285" s="40"/>
      <c r="T285" s="40"/>
      <c r="U285" s="40"/>
      <c r="V285" s="40"/>
      <c r="W285" s="40"/>
    </row>
    <row r="286" ht="12.75" customHeight="1">
      <c r="B286" s="24"/>
      <c r="C286" s="24"/>
      <c r="Q286" s="40"/>
      <c r="R286" s="40"/>
      <c r="S286" s="40"/>
      <c r="T286" s="40"/>
      <c r="U286" s="40"/>
      <c r="V286" s="40"/>
      <c r="W286" s="40"/>
    </row>
    <row r="287" ht="12.75" customHeight="1">
      <c r="B287" s="24"/>
      <c r="C287" s="24"/>
      <c r="Q287" s="40"/>
      <c r="R287" s="40"/>
      <c r="S287" s="40"/>
      <c r="T287" s="40"/>
      <c r="U287" s="40"/>
      <c r="V287" s="40"/>
      <c r="W287" s="40"/>
    </row>
    <row r="288" ht="12.75" customHeight="1">
      <c r="B288" s="24"/>
      <c r="C288" s="24"/>
      <c r="Q288" s="40"/>
      <c r="R288" s="40"/>
      <c r="S288" s="40"/>
      <c r="T288" s="40"/>
      <c r="U288" s="40"/>
      <c r="V288" s="40"/>
      <c r="W288" s="40"/>
    </row>
    <row r="289" ht="12.75" customHeight="1">
      <c r="B289" s="24"/>
      <c r="C289" s="24"/>
      <c r="Q289" s="40"/>
      <c r="R289" s="40"/>
      <c r="S289" s="40"/>
      <c r="T289" s="40"/>
      <c r="U289" s="40"/>
      <c r="V289" s="40"/>
      <c r="W289" s="40"/>
    </row>
    <row r="290" ht="12.75" customHeight="1">
      <c r="B290" s="24"/>
      <c r="C290" s="24"/>
      <c r="Q290" s="40"/>
      <c r="R290" s="40"/>
      <c r="S290" s="40"/>
      <c r="T290" s="40"/>
      <c r="U290" s="40"/>
      <c r="V290" s="40"/>
      <c r="W290" s="40"/>
    </row>
    <row r="291" ht="12.75" customHeight="1">
      <c r="B291" s="24"/>
      <c r="C291" s="24"/>
      <c r="Q291" s="40"/>
      <c r="R291" s="40"/>
      <c r="S291" s="40"/>
      <c r="T291" s="40"/>
      <c r="U291" s="40"/>
      <c r="V291" s="40"/>
      <c r="W291" s="40"/>
    </row>
    <row r="292" ht="12.75" customHeight="1">
      <c r="B292" s="24"/>
      <c r="C292" s="24"/>
      <c r="Q292" s="40"/>
      <c r="R292" s="40"/>
      <c r="S292" s="40"/>
      <c r="T292" s="40"/>
      <c r="U292" s="40"/>
      <c r="V292" s="40"/>
      <c r="W292" s="40"/>
    </row>
    <row r="293" ht="12.75" customHeight="1">
      <c r="B293" s="24"/>
      <c r="C293" s="24"/>
      <c r="Q293" s="40"/>
      <c r="R293" s="40"/>
      <c r="S293" s="40"/>
      <c r="T293" s="40"/>
      <c r="U293" s="40"/>
      <c r="V293" s="40"/>
      <c r="W293" s="40"/>
    </row>
    <row r="294" ht="12.75" customHeight="1">
      <c r="B294" s="24"/>
      <c r="C294" s="24"/>
      <c r="Q294" s="40"/>
      <c r="R294" s="40"/>
      <c r="S294" s="40"/>
      <c r="T294" s="40"/>
      <c r="U294" s="40"/>
      <c r="V294" s="40"/>
      <c r="W294" s="40"/>
    </row>
    <row r="295" ht="12.75" customHeight="1">
      <c r="B295" s="24"/>
      <c r="C295" s="24"/>
      <c r="Q295" s="40"/>
      <c r="R295" s="40"/>
      <c r="S295" s="40"/>
      <c r="T295" s="40"/>
      <c r="U295" s="40"/>
      <c r="V295" s="40"/>
      <c r="W295" s="40"/>
    </row>
    <row r="296" ht="12.75" customHeight="1">
      <c r="B296" s="24"/>
      <c r="C296" s="24"/>
      <c r="Q296" s="40"/>
      <c r="R296" s="40"/>
      <c r="S296" s="40"/>
      <c r="T296" s="40"/>
      <c r="U296" s="40"/>
      <c r="V296" s="40"/>
      <c r="W296" s="40"/>
    </row>
    <row r="297" ht="12.75" customHeight="1">
      <c r="B297" s="24"/>
      <c r="C297" s="24"/>
      <c r="Q297" s="40"/>
      <c r="R297" s="40"/>
      <c r="S297" s="40"/>
      <c r="T297" s="40"/>
      <c r="U297" s="40"/>
      <c r="V297" s="40"/>
      <c r="W297" s="40"/>
    </row>
    <row r="298" ht="12.75" customHeight="1">
      <c r="B298" s="24"/>
      <c r="C298" s="24"/>
      <c r="Q298" s="40"/>
      <c r="R298" s="40"/>
      <c r="S298" s="40"/>
      <c r="T298" s="40"/>
      <c r="U298" s="40"/>
      <c r="V298" s="40"/>
      <c r="W298" s="40"/>
    </row>
    <row r="299" ht="12.75" customHeight="1">
      <c r="B299" s="24"/>
      <c r="C299" s="24"/>
      <c r="Q299" s="40"/>
      <c r="R299" s="40"/>
      <c r="S299" s="40"/>
      <c r="T299" s="40"/>
      <c r="U299" s="40"/>
      <c r="V299" s="40"/>
      <c r="W299" s="40"/>
    </row>
    <row r="300" ht="12.75" customHeight="1">
      <c r="B300" s="24"/>
      <c r="C300" s="24"/>
      <c r="Q300" s="40"/>
      <c r="R300" s="40"/>
      <c r="S300" s="40"/>
      <c r="T300" s="40"/>
      <c r="U300" s="40"/>
      <c r="V300" s="40"/>
      <c r="W300" s="40"/>
    </row>
    <row r="301" ht="12.75" customHeight="1">
      <c r="B301" s="24"/>
      <c r="C301" s="24"/>
      <c r="Q301" s="40"/>
      <c r="R301" s="40"/>
      <c r="S301" s="40"/>
      <c r="T301" s="40"/>
      <c r="U301" s="40"/>
      <c r="V301" s="40"/>
      <c r="W301" s="40"/>
    </row>
    <row r="302" ht="12.75" customHeight="1">
      <c r="B302" s="24"/>
      <c r="C302" s="24"/>
      <c r="Q302" s="40"/>
      <c r="R302" s="40"/>
      <c r="S302" s="40"/>
      <c r="T302" s="40"/>
      <c r="U302" s="40"/>
      <c r="V302" s="40"/>
      <c r="W302" s="40"/>
    </row>
    <row r="303" ht="12.75" customHeight="1">
      <c r="B303" s="24"/>
      <c r="C303" s="24"/>
      <c r="Q303" s="40"/>
      <c r="R303" s="40"/>
      <c r="S303" s="40"/>
      <c r="T303" s="40"/>
      <c r="U303" s="40"/>
      <c r="V303" s="40"/>
      <c r="W303" s="40"/>
    </row>
    <row r="304" ht="12.75" customHeight="1">
      <c r="B304" s="24"/>
      <c r="C304" s="24"/>
      <c r="Q304" s="40"/>
      <c r="R304" s="40"/>
      <c r="S304" s="40"/>
      <c r="T304" s="40"/>
      <c r="U304" s="40"/>
      <c r="V304" s="40"/>
      <c r="W304" s="40"/>
    </row>
    <row r="305" ht="12.75" customHeight="1">
      <c r="B305" s="24"/>
      <c r="C305" s="24"/>
      <c r="Q305" s="40"/>
      <c r="R305" s="40"/>
      <c r="S305" s="40"/>
      <c r="T305" s="40"/>
      <c r="U305" s="40"/>
      <c r="V305" s="40"/>
      <c r="W305" s="40"/>
    </row>
    <row r="306" ht="12.75" customHeight="1">
      <c r="B306" s="24"/>
      <c r="C306" s="24"/>
      <c r="Q306" s="40"/>
      <c r="R306" s="40"/>
      <c r="S306" s="40"/>
      <c r="T306" s="40"/>
      <c r="U306" s="40"/>
      <c r="V306" s="40"/>
      <c r="W306" s="40"/>
    </row>
    <row r="307" ht="12.75" customHeight="1">
      <c r="B307" s="24"/>
      <c r="C307" s="24"/>
      <c r="Q307" s="40"/>
      <c r="R307" s="40"/>
      <c r="S307" s="40"/>
      <c r="T307" s="40"/>
      <c r="U307" s="40"/>
      <c r="V307" s="40"/>
      <c r="W307" s="40"/>
    </row>
    <row r="308" ht="12.75" customHeight="1">
      <c r="B308" s="24"/>
      <c r="C308" s="24"/>
      <c r="Q308" s="40"/>
      <c r="R308" s="40"/>
      <c r="S308" s="40"/>
      <c r="T308" s="40"/>
      <c r="U308" s="40"/>
      <c r="V308" s="40"/>
      <c r="W308" s="40"/>
    </row>
    <row r="309" ht="12.75" customHeight="1">
      <c r="B309" s="24"/>
      <c r="C309" s="24"/>
      <c r="Q309" s="40"/>
      <c r="R309" s="40"/>
      <c r="S309" s="40"/>
      <c r="T309" s="40"/>
      <c r="U309" s="40"/>
      <c r="V309" s="40"/>
      <c r="W309" s="40"/>
    </row>
    <row r="310" ht="12.75" customHeight="1">
      <c r="B310" s="24"/>
      <c r="C310" s="24"/>
      <c r="Q310" s="40"/>
      <c r="R310" s="40"/>
      <c r="S310" s="40"/>
      <c r="T310" s="40"/>
      <c r="U310" s="40"/>
      <c r="V310" s="40"/>
      <c r="W310" s="40"/>
    </row>
    <row r="311" ht="12.75" customHeight="1">
      <c r="B311" s="24"/>
      <c r="C311" s="24"/>
      <c r="Q311" s="40"/>
      <c r="R311" s="40"/>
      <c r="S311" s="40"/>
      <c r="T311" s="40"/>
      <c r="U311" s="40"/>
      <c r="V311" s="40"/>
      <c r="W311" s="40"/>
    </row>
    <row r="312" ht="12.75" customHeight="1">
      <c r="B312" s="24"/>
      <c r="C312" s="24"/>
      <c r="Q312" s="40"/>
      <c r="R312" s="40"/>
      <c r="S312" s="40"/>
      <c r="T312" s="40"/>
      <c r="U312" s="40"/>
      <c r="V312" s="40"/>
      <c r="W312" s="40"/>
    </row>
    <row r="313" ht="12.75" customHeight="1">
      <c r="B313" s="24"/>
      <c r="C313" s="24"/>
      <c r="Q313" s="40"/>
      <c r="R313" s="40"/>
      <c r="S313" s="40"/>
      <c r="T313" s="40"/>
      <c r="U313" s="40"/>
      <c r="V313" s="40"/>
      <c r="W313" s="40"/>
    </row>
    <row r="314" ht="12.75" customHeight="1">
      <c r="B314" s="24"/>
      <c r="C314" s="24"/>
      <c r="Q314" s="40"/>
      <c r="R314" s="40"/>
      <c r="S314" s="40"/>
      <c r="T314" s="40"/>
      <c r="U314" s="40"/>
      <c r="V314" s="40"/>
      <c r="W314" s="40"/>
    </row>
    <row r="315" ht="12.75" customHeight="1">
      <c r="B315" s="24"/>
      <c r="C315" s="24"/>
      <c r="Q315" s="40"/>
      <c r="R315" s="40"/>
      <c r="S315" s="40"/>
      <c r="T315" s="40"/>
      <c r="U315" s="40"/>
      <c r="V315" s="40"/>
      <c r="W315" s="40"/>
    </row>
    <row r="316" ht="12.75" customHeight="1">
      <c r="B316" s="24"/>
      <c r="C316" s="24"/>
      <c r="Q316" s="40"/>
      <c r="R316" s="40"/>
      <c r="S316" s="40"/>
      <c r="T316" s="40"/>
      <c r="U316" s="40"/>
      <c r="V316" s="40"/>
      <c r="W316" s="40"/>
    </row>
    <row r="317" ht="12.75" customHeight="1">
      <c r="B317" s="24"/>
      <c r="C317" s="24"/>
      <c r="Q317" s="40"/>
      <c r="R317" s="40"/>
      <c r="S317" s="40"/>
      <c r="T317" s="40"/>
      <c r="U317" s="40"/>
      <c r="V317" s="40"/>
      <c r="W317" s="40"/>
    </row>
    <row r="318" ht="12.75" customHeight="1">
      <c r="B318" s="24"/>
      <c r="C318" s="24"/>
      <c r="Q318" s="40"/>
      <c r="R318" s="40"/>
      <c r="S318" s="40"/>
      <c r="T318" s="40"/>
      <c r="U318" s="40"/>
      <c r="V318" s="40"/>
      <c r="W318" s="40"/>
    </row>
    <row r="319" ht="12.75" customHeight="1">
      <c r="B319" s="24"/>
      <c r="C319" s="24"/>
      <c r="Q319" s="40"/>
      <c r="R319" s="40"/>
      <c r="S319" s="40"/>
      <c r="T319" s="40"/>
      <c r="U319" s="40"/>
      <c r="V319" s="40"/>
      <c r="W319" s="40"/>
    </row>
    <row r="320" ht="12.75" customHeight="1">
      <c r="B320" s="24"/>
      <c r="C320" s="24"/>
      <c r="Q320" s="40"/>
      <c r="R320" s="40"/>
      <c r="S320" s="40"/>
      <c r="T320" s="40"/>
      <c r="U320" s="40"/>
      <c r="V320" s="40"/>
      <c r="W320" s="40"/>
    </row>
    <row r="321" ht="12.75" customHeight="1">
      <c r="B321" s="24"/>
      <c r="C321" s="24"/>
      <c r="Q321" s="40"/>
      <c r="R321" s="40"/>
      <c r="S321" s="40"/>
      <c r="T321" s="40"/>
      <c r="U321" s="40"/>
      <c r="V321" s="40"/>
      <c r="W321" s="40"/>
    </row>
    <row r="322" ht="12.75" customHeight="1">
      <c r="B322" s="24"/>
      <c r="C322" s="24"/>
      <c r="Q322" s="40"/>
      <c r="R322" s="40"/>
      <c r="S322" s="40"/>
      <c r="T322" s="40"/>
      <c r="U322" s="40"/>
      <c r="V322" s="40"/>
      <c r="W322" s="40"/>
    </row>
    <row r="323" ht="12.75" customHeight="1">
      <c r="B323" s="24"/>
      <c r="C323" s="24"/>
      <c r="Q323" s="40"/>
      <c r="R323" s="40"/>
      <c r="S323" s="40"/>
      <c r="T323" s="40"/>
      <c r="U323" s="40"/>
      <c r="V323" s="40"/>
      <c r="W323" s="40"/>
    </row>
    <row r="324" ht="12.75" customHeight="1">
      <c r="B324" s="24"/>
      <c r="C324" s="24"/>
      <c r="Q324" s="40"/>
      <c r="R324" s="40"/>
      <c r="S324" s="40"/>
      <c r="T324" s="40"/>
      <c r="U324" s="40"/>
      <c r="V324" s="40"/>
      <c r="W324" s="40"/>
    </row>
    <row r="325" ht="12.75" customHeight="1">
      <c r="B325" s="24"/>
      <c r="C325" s="24"/>
      <c r="Q325" s="40"/>
      <c r="R325" s="40"/>
      <c r="S325" s="40"/>
      <c r="T325" s="40"/>
      <c r="U325" s="40"/>
      <c r="V325" s="40"/>
      <c r="W325" s="40"/>
    </row>
    <row r="326" ht="12.75" customHeight="1">
      <c r="B326" s="24"/>
      <c r="C326" s="24"/>
      <c r="Q326" s="40"/>
      <c r="R326" s="40"/>
      <c r="S326" s="40"/>
      <c r="T326" s="40"/>
      <c r="U326" s="40"/>
      <c r="V326" s="40"/>
      <c r="W326" s="40"/>
    </row>
    <row r="327" ht="12.75" customHeight="1">
      <c r="B327" s="24"/>
      <c r="C327" s="24"/>
      <c r="Q327" s="40"/>
      <c r="R327" s="40"/>
      <c r="S327" s="40"/>
      <c r="T327" s="40"/>
      <c r="U327" s="40"/>
      <c r="V327" s="40"/>
      <c r="W327" s="40"/>
    </row>
    <row r="328" ht="12.75" customHeight="1">
      <c r="B328" s="24"/>
      <c r="C328" s="24"/>
      <c r="Q328" s="40"/>
      <c r="R328" s="40"/>
      <c r="S328" s="40"/>
      <c r="T328" s="40"/>
      <c r="U328" s="40"/>
      <c r="V328" s="40"/>
      <c r="W328" s="40"/>
    </row>
    <row r="329" ht="12.75" customHeight="1">
      <c r="B329" s="24"/>
      <c r="C329" s="24"/>
      <c r="Q329" s="40"/>
      <c r="R329" s="40"/>
      <c r="S329" s="40"/>
      <c r="T329" s="40"/>
      <c r="U329" s="40"/>
      <c r="V329" s="40"/>
      <c r="W329" s="40"/>
    </row>
    <row r="330" ht="12.75" customHeight="1">
      <c r="B330" s="24"/>
      <c r="C330" s="24"/>
      <c r="Q330" s="40"/>
      <c r="R330" s="40"/>
      <c r="S330" s="40"/>
      <c r="T330" s="40"/>
      <c r="U330" s="40"/>
      <c r="V330" s="40"/>
      <c r="W330" s="40"/>
    </row>
    <row r="331" ht="12.75" customHeight="1">
      <c r="B331" s="24"/>
      <c r="C331" s="24"/>
      <c r="Q331" s="40"/>
      <c r="R331" s="40"/>
      <c r="S331" s="40"/>
      <c r="T331" s="40"/>
      <c r="U331" s="40"/>
      <c r="V331" s="40"/>
      <c r="W331" s="40"/>
    </row>
    <row r="332" ht="12.75" customHeight="1">
      <c r="B332" s="24"/>
      <c r="C332" s="24"/>
      <c r="Q332" s="40"/>
      <c r="R332" s="40"/>
      <c r="S332" s="40"/>
      <c r="T332" s="40"/>
      <c r="U332" s="40"/>
      <c r="V332" s="40"/>
      <c r="W332" s="40"/>
    </row>
    <row r="333" ht="12.75" customHeight="1">
      <c r="B333" s="24"/>
      <c r="C333" s="24"/>
      <c r="Q333" s="40"/>
      <c r="R333" s="40"/>
      <c r="S333" s="40"/>
      <c r="T333" s="40"/>
      <c r="U333" s="40"/>
      <c r="V333" s="40"/>
      <c r="W333" s="40"/>
    </row>
    <row r="334" ht="12.75" customHeight="1">
      <c r="B334" s="24"/>
      <c r="C334" s="24"/>
      <c r="Q334" s="40"/>
      <c r="R334" s="40"/>
      <c r="S334" s="40"/>
      <c r="T334" s="40"/>
      <c r="U334" s="40"/>
      <c r="V334" s="40"/>
      <c r="W334" s="40"/>
    </row>
    <row r="335" ht="12.75" customHeight="1">
      <c r="B335" s="24"/>
      <c r="C335" s="24"/>
      <c r="Q335" s="40"/>
      <c r="R335" s="40"/>
      <c r="S335" s="40"/>
      <c r="T335" s="40"/>
      <c r="U335" s="40"/>
      <c r="V335" s="40"/>
      <c r="W335" s="40"/>
    </row>
    <row r="336" ht="12.75" customHeight="1">
      <c r="B336" s="24"/>
      <c r="C336" s="24"/>
      <c r="Q336" s="40"/>
      <c r="R336" s="40"/>
      <c r="S336" s="40"/>
      <c r="T336" s="40"/>
      <c r="U336" s="40"/>
      <c r="V336" s="40"/>
      <c r="W336" s="40"/>
    </row>
    <row r="337" ht="12.75" customHeight="1">
      <c r="B337" s="24"/>
      <c r="C337" s="24"/>
      <c r="Q337" s="40"/>
      <c r="R337" s="40"/>
      <c r="S337" s="40"/>
      <c r="T337" s="40"/>
      <c r="U337" s="40"/>
      <c r="V337" s="40"/>
      <c r="W337" s="40"/>
    </row>
    <row r="338" ht="12.75" customHeight="1">
      <c r="B338" s="24"/>
      <c r="C338" s="24"/>
      <c r="Q338" s="40"/>
      <c r="R338" s="40"/>
      <c r="S338" s="40"/>
      <c r="T338" s="40"/>
      <c r="U338" s="40"/>
      <c r="V338" s="40"/>
      <c r="W338" s="40"/>
    </row>
    <row r="339" ht="12.75" customHeight="1">
      <c r="B339" s="24"/>
      <c r="C339" s="24"/>
      <c r="Q339" s="40"/>
      <c r="R339" s="40"/>
      <c r="S339" s="40"/>
      <c r="T339" s="40"/>
      <c r="U339" s="40"/>
      <c r="V339" s="40"/>
      <c r="W339" s="40"/>
    </row>
    <row r="340" ht="12.75" customHeight="1">
      <c r="B340" s="24"/>
      <c r="C340" s="24"/>
      <c r="Q340" s="40"/>
      <c r="R340" s="40"/>
      <c r="S340" s="40"/>
      <c r="T340" s="40"/>
      <c r="U340" s="40"/>
      <c r="V340" s="40"/>
      <c r="W340" s="40"/>
    </row>
    <row r="341" ht="12.75" customHeight="1">
      <c r="B341" s="24"/>
      <c r="C341" s="24"/>
      <c r="Q341" s="40"/>
      <c r="R341" s="40"/>
      <c r="S341" s="40"/>
      <c r="T341" s="40"/>
      <c r="U341" s="40"/>
      <c r="V341" s="40"/>
      <c r="W341" s="40"/>
    </row>
    <row r="342" ht="12.75" customHeight="1">
      <c r="B342" s="24"/>
      <c r="C342" s="24"/>
      <c r="Q342" s="40"/>
      <c r="R342" s="40"/>
      <c r="S342" s="40"/>
      <c r="T342" s="40"/>
      <c r="U342" s="40"/>
      <c r="V342" s="40"/>
      <c r="W342" s="40"/>
    </row>
    <row r="343" ht="12.75" customHeight="1">
      <c r="B343" s="24"/>
      <c r="C343" s="24"/>
      <c r="Q343" s="40"/>
      <c r="R343" s="40"/>
      <c r="S343" s="40"/>
      <c r="T343" s="40"/>
      <c r="U343" s="40"/>
      <c r="V343" s="40"/>
      <c r="W343" s="40"/>
    </row>
    <row r="344" ht="12.75" customHeight="1">
      <c r="B344" s="24"/>
      <c r="C344" s="24"/>
      <c r="Q344" s="40"/>
      <c r="R344" s="40"/>
      <c r="S344" s="40"/>
      <c r="T344" s="40"/>
      <c r="U344" s="40"/>
      <c r="V344" s="40"/>
      <c r="W344" s="40"/>
    </row>
    <row r="345" ht="12.75" customHeight="1">
      <c r="B345" s="24"/>
      <c r="C345" s="24"/>
      <c r="Q345" s="40"/>
      <c r="R345" s="40"/>
      <c r="S345" s="40"/>
      <c r="T345" s="40"/>
      <c r="U345" s="40"/>
      <c r="V345" s="40"/>
      <c r="W345" s="40"/>
    </row>
    <row r="346" ht="12.75" customHeight="1">
      <c r="B346" s="24"/>
      <c r="C346" s="24"/>
      <c r="Q346" s="40"/>
      <c r="R346" s="40"/>
      <c r="S346" s="40"/>
      <c r="T346" s="40"/>
      <c r="U346" s="40"/>
      <c r="V346" s="40"/>
      <c r="W346" s="40"/>
    </row>
    <row r="347" ht="12.75" customHeight="1">
      <c r="B347" s="24"/>
      <c r="C347" s="24"/>
      <c r="Q347" s="40"/>
      <c r="R347" s="40"/>
      <c r="S347" s="40"/>
      <c r="T347" s="40"/>
      <c r="U347" s="40"/>
      <c r="V347" s="40"/>
      <c r="W347" s="40"/>
    </row>
    <row r="348" ht="12.75" customHeight="1">
      <c r="B348" s="24"/>
      <c r="C348" s="24"/>
      <c r="Q348" s="40"/>
      <c r="R348" s="40"/>
      <c r="S348" s="40"/>
      <c r="T348" s="40"/>
      <c r="U348" s="40"/>
      <c r="V348" s="40"/>
      <c r="W348" s="40"/>
    </row>
    <row r="349" ht="12.75" customHeight="1">
      <c r="B349" s="24"/>
      <c r="C349" s="24"/>
      <c r="Q349" s="40"/>
      <c r="R349" s="40"/>
      <c r="S349" s="40"/>
      <c r="T349" s="40"/>
      <c r="U349" s="40"/>
      <c r="V349" s="40"/>
      <c r="W349" s="40"/>
    </row>
    <row r="350" ht="12.75" customHeight="1">
      <c r="B350" s="24"/>
      <c r="C350" s="24"/>
      <c r="Q350" s="40"/>
      <c r="R350" s="40"/>
      <c r="S350" s="40"/>
      <c r="T350" s="40"/>
      <c r="U350" s="40"/>
      <c r="V350" s="40"/>
      <c r="W350" s="40"/>
    </row>
    <row r="351" ht="12.75" customHeight="1">
      <c r="B351" s="24"/>
      <c r="C351" s="24"/>
      <c r="Q351" s="40"/>
      <c r="R351" s="40"/>
      <c r="S351" s="40"/>
      <c r="T351" s="40"/>
      <c r="U351" s="40"/>
      <c r="V351" s="40"/>
      <c r="W351" s="40"/>
    </row>
    <row r="352" ht="12.75" customHeight="1">
      <c r="B352" s="24"/>
      <c r="C352" s="24"/>
      <c r="Q352" s="40"/>
      <c r="R352" s="40"/>
      <c r="S352" s="40"/>
      <c r="T352" s="40"/>
      <c r="U352" s="40"/>
      <c r="V352" s="40"/>
      <c r="W352" s="40"/>
    </row>
    <row r="353" ht="12.75" customHeight="1">
      <c r="B353" s="24"/>
      <c r="C353" s="24"/>
      <c r="Q353" s="40"/>
      <c r="R353" s="40"/>
      <c r="S353" s="40"/>
      <c r="T353" s="40"/>
      <c r="U353" s="40"/>
      <c r="V353" s="40"/>
      <c r="W353" s="40"/>
    </row>
    <row r="354" ht="12.75" customHeight="1">
      <c r="B354" s="24"/>
      <c r="C354" s="24"/>
      <c r="Q354" s="40"/>
      <c r="R354" s="40"/>
      <c r="S354" s="40"/>
      <c r="T354" s="40"/>
      <c r="U354" s="40"/>
      <c r="V354" s="40"/>
      <c r="W354" s="40"/>
    </row>
    <row r="355" ht="12.75" customHeight="1">
      <c r="B355" s="24"/>
      <c r="C355" s="24"/>
      <c r="Q355" s="40"/>
      <c r="R355" s="40"/>
      <c r="S355" s="40"/>
      <c r="T355" s="40"/>
      <c r="U355" s="40"/>
      <c r="V355" s="40"/>
      <c r="W355" s="40"/>
    </row>
    <row r="356" ht="12.75" customHeight="1">
      <c r="B356" s="24"/>
      <c r="C356" s="24"/>
      <c r="Q356" s="40"/>
      <c r="R356" s="40"/>
      <c r="S356" s="40"/>
      <c r="T356" s="40"/>
      <c r="U356" s="40"/>
      <c r="V356" s="40"/>
      <c r="W356" s="40"/>
    </row>
    <row r="357" ht="12.75" customHeight="1">
      <c r="B357" s="24"/>
      <c r="C357" s="24"/>
      <c r="Q357" s="40"/>
      <c r="R357" s="40"/>
      <c r="S357" s="40"/>
      <c r="T357" s="40"/>
      <c r="U357" s="40"/>
      <c r="V357" s="40"/>
      <c r="W357" s="40"/>
    </row>
    <row r="358" ht="12.75" customHeight="1">
      <c r="B358" s="24"/>
      <c r="C358" s="24"/>
      <c r="Q358" s="40"/>
      <c r="R358" s="40"/>
      <c r="S358" s="40"/>
      <c r="T358" s="40"/>
      <c r="U358" s="40"/>
      <c r="V358" s="40"/>
      <c r="W358" s="40"/>
    </row>
    <row r="359" ht="12.75" customHeight="1">
      <c r="B359" s="24"/>
      <c r="C359" s="24"/>
      <c r="Q359" s="40"/>
      <c r="R359" s="40"/>
      <c r="S359" s="40"/>
      <c r="T359" s="40"/>
      <c r="U359" s="40"/>
      <c r="V359" s="40"/>
      <c r="W359" s="40"/>
    </row>
    <row r="360" ht="12.75" customHeight="1">
      <c r="B360" s="24"/>
      <c r="C360" s="24"/>
      <c r="Q360" s="40"/>
      <c r="R360" s="40"/>
      <c r="S360" s="40"/>
      <c r="T360" s="40"/>
      <c r="U360" s="40"/>
      <c r="V360" s="40"/>
      <c r="W360" s="40"/>
    </row>
    <row r="361" ht="12.75" customHeight="1">
      <c r="B361" s="24"/>
      <c r="C361" s="24"/>
      <c r="Q361" s="40"/>
      <c r="R361" s="40"/>
      <c r="S361" s="40"/>
      <c r="T361" s="40"/>
      <c r="U361" s="40"/>
      <c r="V361" s="40"/>
      <c r="W361" s="40"/>
    </row>
    <row r="362" ht="12.75" customHeight="1">
      <c r="B362" s="24"/>
      <c r="C362" s="24"/>
      <c r="Q362" s="40"/>
      <c r="R362" s="40"/>
      <c r="S362" s="40"/>
      <c r="T362" s="40"/>
      <c r="U362" s="40"/>
      <c r="V362" s="40"/>
      <c r="W362" s="40"/>
    </row>
    <row r="363" ht="12.75" customHeight="1">
      <c r="B363" s="24"/>
      <c r="C363" s="24"/>
      <c r="Q363" s="40"/>
      <c r="R363" s="40"/>
      <c r="S363" s="40"/>
      <c r="T363" s="40"/>
      <c r="U363" s="40"/>
      <c r="V363" s="40"/>
      <c r="W363" s="40"/>
    </row>
    <row r="364" ht="12.75" customHeight="1">
      <c r="B364" s="24"/>
      <c r="C364" s="24"/>
      <c r="Q364" s="40"/>
      <c r="R364" s="40"/>
      <c r="S364" s="40"/>
      <c r="T364" s="40"/>
      <c r="U364" s="40"/>
      <c r="V364" s="40"/>
      <c r="W364" s="40"/>
    </row>
    <row r="365" ht="12.75" customHeight="1">
      <c r="B365" s="24"/>
      <c r="C365" s="24"/>
      <c r="Q365" s="40"/>
      <c r="R365" s="40"/>
      <c r="S365" s="40"/>
      <c r="T365" s="40"/>
      <c r="U365" s="40"/>
      <c r="V365" s="40"/>
      <c r="W365" s="40"/>
    </row>
    <row r="366" ht="12.75" customHeight="1">
      <c r="B366" s="24"/>
      <c r="C366" s="24"/>
      <c r="Q366" s="40"/>
      <c r="R366" s="40"/>
      <c r="S366" s="40"/>
      <c r="T366" s="40"/>
      <c r="U366" s="40"/>
      <c r="V366" s="40"/>
      <c r="W366" s="40"/>
    </row>
    <row r="367" ht="12.75" customHeight="1">
      <c r="B367" s="24"/>
      <c r="C367" s="24"/>
      <c r="Q367" s="40"/>
      <c r="R367" s="40"/>
      <c r="S367" s="40"/>
      <c r="T367" s="40"/>
      <c r="U367" s="40"/>
      <c r="V367" s="40"/>
      <c r="W367" s="40"/>
    </row>
    <row r="368" ht="12.75" customHeight="1">
      <c r="B368" s="24"/>
      <c r="C368" s="24"/>
      <c r="Q368" s="40"/>
      <c r="R368" s="40"/>
      <c r="S368" s="40"/>
      <c r="T368" s="40"/>
      <c r="U368" s="40"/>
      <c r="V368" s="40"/>
      <c r="W368" s="40"/>
    </row>
    <row r="369" ht="12.75" customHeight="1">
      <c r="B369" s="24"/>
      <c r="C369" s="24"/>
      <c r="Q369" s="40"/>
      <c r="R369" s="40"/>
      <c r="S369" s="40"/>
      <c r="T369" s="40"/>
      <c r="U369" s="40"/>
      <c r="V369" s="40"/>
      <c r="W369" s="40"/>
    </row>
    <row r="370" ht="12.75" customHeight="1">
      <c r="B370" s="24"/>
      <c r="C370" s="24"/>
      <c r="Q370" s="40"/>
      <c r="R370" s="40"/>
      <c r="S370" s="40"/>
      <c r="T370" s="40"/>
      <c r="U370" s="40"/>
      <c r="V370" s="40"/>
      <c r="W370" s="40"/>
    </row>
    <row r="371" ht="12.75" customHeight="1">
      <c r="B371" s="24"/>
      <c r="C371" s="24"/>
      <c r="Q371" s="40"/>
      <c r="R371" s="40"/>
      <c r="S371" s="40"/>
      <c r="T371" s="40"/>
      <c r="U371" s="40"/>
      <c r="V371" s="40"/>
      <c r="W371" s="40"/>
    </row>
    <row r="372" ht="12.75" customHeight="1">
      <c r="B372" s="24"/>
      <c r="C372" s="24"/>
      <c r="Q372" s="40"/>
      <c r="R372" s="40"/>
      <c r="S372" s="40"/>
      <c r="T372" s="40"/>
      <c r="U372" s="40"/>
      <c r="V372" s="40"/>
      <c r="W372" s="40"/>
    </row>
    <row r="373" ht="12.75" customHeight="1">
      <c r="B373" s="24"/>
      <c r="C373" s="24"/>
      <c r="Q373" s="40"/>
      <c r="R373" s="40"/>
      <c r="S373" s="40"/>
      <c r="T373" s="40"/>
      <c r="U373" s="40"/>
      <c r="V373" s="40"/>
      <c r="W373" s="40"/>
    </row>
    <row r="374" ht="12.75" customHeight="1">
      <c r="B374" s="24"/>
      <c r="C374" s="24"/>
      <c r="Q374" s="40"/>
      <c r="R374" s="40"/>
      <c r="S374" s="40"/>
      <c r="T374" s="40"/>
      <c r="U374" s="40"/>
      <c r="V374" s="40"/>
      <c r="W374" s="40"/>
    </row>
    <row r="375" ht="12.75" customHeight="1">
      <c r="B375" s="24"/>
      <c r="C375" s="24"/>
      <c r="Q375" s="40"/>
      <c r="R375" s="40"/>
      <c r="S375" s="40"/>
      <c r="T375" s="40"/>
      <c r="U375" s="40"/>
      <c r="V375" s="40"/>
      <c r="W375" s="40"/>
    </row>
    <row r="376" ht="12.75" customHeight="1">
      <c r="B376" s="24"/>
      <c r="C376" s="24"/>
      <c r="Q376" s="40"/>
      <c r="R376" s="40"/>
      <c r="S376" s="40"/>
      <c r="T376" s="40"/>
      <c r="U376" s="40"/>
      <c r="V376" s="40"/>
      <c r="W376" s="40"/>
    </row>
    <row r="377" ht="12.75" customHeight="1">
      <c r="B377" s="24"/>
      <c r="C377" s="24"/>
      <c r="Q377" s="40"/>
      <c r="R377" s="40"/>
      <c r="S377" s="40"/>
      <c r="T377" s="40"/>
      <c r="U377" s="40"/>
      <c r="V377" s="40"/>
      <c r="W377" s="40"/>
    </row>
    <row r="378" ht="12.75" customHeight="1">
      <c r="B378" s="24"/>
      <c r="C378" s="24"/>
      <c r="Q378" s="40"/>
      <c r="R378" s="40"/>
      <c r="S378" s="40"/>
      <c r="T378" s="40"/>
      <c r="U378" s="40"/>
      <c r="V378" s="40"/>
      <c r="W378" s="40"/>
    </row>
    <row r="379" ht="12.75" customHeight="1">
      <c r="B379" s="24"/>
      <c r="C379" s="24"/>
      <c r="Q379" s="40"/>
      <c r="R379" s="40"/>
      <c r="S379" s="40"/>
      <c r="T379" s="40"/>
      <c r="U379" s="40"/>
      <c r="V379" s="40"/>
      <c r="W379" s="40"/>
    </row>
    <row r="380" ht="12.75" customHeight="1">
      <c r="B380" s="24"/>
      <c r="C380" s="24"/>
      <c r="Q380" s="40"/>
      <c r="R380" s="40"/>
      <c r="S380" s="40"/>
      <c r="T380" s="40"/>
      <c r="U380" s="40"/>
      <c r="V380" s="40"/>
      <c r="W380" s="40"/>
    </row>
    <row r="381" ht="12.75" customHeight="1">
      <c r="B381" s="24"/>
      <c r="C381" s="24"/>
      <c r="Q381" s="40"/>
      <c r="R381" s="40"/>
      <c r="S381" s="40"/>
      <c r="T381" s="40"/>
      <c r="U381" s="40"/>
      <c r="V381" s="40"/>
      <c r="W381" s="40"/>
    </row>
    <row r="382" ht="12.75" customHeight="1">
      <c r="B382" s="24"/>
      <c r="C382" s="24"/>
      <c r="Q382" s="40"/>
      <c r="R382" s="40"/>
      <c r="S382" s="40"/>
      <c r="T382" s="40"/>
      <c r="U382" s="40"/>
      <c r="V382" s="40"/>
      <c r="W382" s="40"/>
    </row>
    <row r="383" ht="12.75" customHeight="1">
      <c r="B383" s="24"/>
      <c r="C383" s="24"/>
      <c r="Q383" s="40"/>
      <c r="R383" s="40"/>
      <c r="S383" s="40"/>
      <c r="T383" s="40"/>
      <c r="U383" s="40"/>
      <c r="V383" s="40"/>
      <c r="W383" s="40"/>
    </row>
    <row r="384" ht="12.75" customHeight="1">
      <c r="B384" s="24"/>
      <c r="C384" s="24"/>
      <c r="Q384" s="40"/>
      <c r="R384" s="40"/>
      <c r="S384" s="40"/>
      <c r="T384" s="40"/>
      <c r="U384" s="40"/>
      <c r="V384" s="40"/>
      <c r="W384" s="40"/>
    </row>
    <row r="385" ht="12.75" customHeight="1">
      <c r="B385" s="24"/>
      <c r="C385" s="24"/>
      <c r="Q385" s="40"/>
      <c r="R385" s="40"/>
      <c r="S385" s="40"/>
      <c r="T385" s="40"/>
      <c r="U385" s="40"/>
      <c r="V385" s="40"/>
      <c r="W385" s="40"/>
    </row>
    <row r="386" ht="12.75" customHeight="1">
      <c r="B386" s="24"/>
      <c r="C386" s="24"/>
      <c r="Q386" s="40"/>
      <c r="R386" s="40"/>
      <c r="S386" s="40"/>
      <c r="T386" s="40"/>
      <c r="U386" s="40"/>
      <c r="V386" s="40"/>
      <c r="W386" s="40"/>
    </row>
    <row r="387" ht="12.75" customHeight="1">
      <c r="B387" s="24"/>
      <c r="C387" s="24"/>
      <c r="Q387" s="40"/>
      <c r="R387" s="40"/>
      <c r="S387" s="40"/>
      <c r="T387" s="40"/>
      <c r="U387" s="40"/>
      <c r="V387" s="40"/>
      <c r="W387" s="40"/>
    </row>
    <row r="388" ht="12.75" customHeight="1">
      <c r="B388" s="24"/>
      <c r="C388" s="24"/>
      <c r="Q388" s="40"/>
      <c r="R388" s="40"/>
      <c r="S388" s="40"/>
      <c r="T388" s="40"/>
      <c r="U388" s="40"/>
      <c r="V388" s="40"/>
      <c r="W388" s="40"/>
    </row>
    <row r="389" ht="12.75" customHeight="1">
      <c r="B389" s="24"/>
      <c r="C389" s="24"/>
      <c r="Q389" s="40"/>
      <c r="R389" s="40"/>
      <c r="S389" s="40"/>
      <c r="T389" s="40"/>
      <c r="U389" s="40"/>
      <c r="V389" s="40"/>
      <c r="W389" s="40"/>
    </row>
    <row r="390" ht="12.75" customHeight="1">
      <c r="B390" s="24"/>
      <c r="C390" s="24"/>
      <c r="Q390" s="40"/>
      <c r="R390" s="40"/>
      <c r="S390" s="40"/>
      <c r="T390" s="40"/>
      <c r="U390" s="40"/>
      <c r="V390" s="40"/>
      <c r="W390" s="40"/>
    </row>
    <row r="391" ht="12.75" customHeight="1">
      <c r="B391" s="24"/>
      <c r="C391" s="24"/>
      <c r="Q391" s="40"/>
      <c r="R391" s="40"/>
      <c r="S391" s="40"/>
      <c r="T391" s="40"/>
      <c r="U391" s="40"/>
      <c r="V391" s="40"/>
      <c r="W391" s="40"/>
    </row>
    <row r="392" ht="12.75" customHeight="1">
      <c r="B392" s="24"/>
      <c r="C392" s="24"/>
      <c r="Q392" s="40"/>
      <c r="R392" s="40"/>
      <c r="S392" s="40"/>
      <c r="T392" s="40"/>
      <c r="U392" s="40"/>
      <c r="V392" s="40"/>
      <c r="W392" s="40"/>
    </row>
    <row r="393" ht="12.75" customHeight="1">
      <c r="B393" s="24"/>
      <c r="C393" s="24"/>
      <c r="Q393" s="40"/>
      <c r="R393" s="40"/>
      <c r="S393" s="40"/>
      <c r="T393" s="40"/>
      <c r="U393" s="40"/>
      <c r="V393" s="40"/>
      <c r="W393" s="40"/>
    </row>
    <row r="394" ht="12.75" customHeight="1">
      <c r="B394" s="24"/>
      <c r="C394" s="24"/>
      <c r="Q394" s="40"/>
      <c r="R394" s="40"/>
      <c r="S394" s="40"/>
      <c r="T394" s="40"/>
      <c r="U394" s="40"/>
      <c r="V394" s="40"/>
      <c r="W394" s="40"/>
    </row>
    <row r="395" ht="12.75" customHeight="1">
      <c r="B395" s="24"/>
      <c r="C395" s="24"/>
      <c r="Q395" s="40"/>
      <c r="R395" s="40"/>
      <c r="S395" s="40"/>
      <c r="T395" s="40"/>
      <c r="U395" s="40"/>
      <c r="V395" s="40"/>
      <c r="W395" s="40"/>
    </row>
    <row r="396" ht="12.75" customHeight="1">
      <c r="B396" s="24"/>
      <c r="C396" s="24"/>
      <c r="Q396" s="40"/>
      <c r="R396" s="40"/>
      <c r="S396" s="40"/>
      <c r="T396" s="40"/>
      <c r="U396" s="40"/>
      <c r="V396" s="40"/>
      <c r="W396" s="40"/>
    </row>
    <row r="397" ht="12.75" customHeight="1">
      <c r="B397" s="24"/>
      <c r="C397" s="24"/>
      <c r="Q397" s="40"/>
      <c r="R397" s="40"/>
      <c r="S397" s="40"/>
      <c r="T397" s="40"/>
      <c r="U397" s="40"/>
      <c r="V397" s="40"/>
      <c r="W397" s="40"/>
    </row>
    <row r="398" ht="12.75" customHeight="1">
      <c r="B398" s="24"/>
      <c r="C398" s="24"/>
      <c r="Q398" s="40"/>
      <c r="R398" s="40"/>
      <c r="S398" s="40"/>
      <c r="T398" s="40"/>
      <c r="U398" s="40"/>
      <c r="V398" s="40"/>
      <c r="W398" s="40"/>
    </row>
    <row r="399" ht="12.75" customHeight="1">
      <c r="B399" s="24"/>
      <c r="C399" s="24"/>
      <c r="Q399" s="40"/>
      <c r="R399" s="40"/>
      <c r="S399" s="40"/>
      <c r="T399" s="40"/>
      <c r="U399" s="40"/>
      <c r="V399" s="40"/>
      <c r="W399" s="40"/>
    </row>
    <row r="400" ht="12.75" customHeight="1">
      <c r="B400" s="24"/>
      <c r="C400" s="24"/>
      <c r="Q400" s="40"/>
      <c r="R400" s="40"/>
      <c r="S400" s="40"/>
      <c r="T400" s="40"/>
      <c r="U400" s="40"/>
      <c r="V400" s="40"/>
      <c r="W400" s="40"/>
    </row>
    <row r="401" ht="12.75" customHeight="1">
      <c r="B401" s="24"/>
      <c r="C401" s="24"/>
      <c r="Q401" s="40"/>
      <c r="R401" s="40"/>
      <c r="S401" s="40"/>
      <c r="T401" s="40"/>
      <c r="U401" s="40"/>
      <c r="V401" s="40"/>
      <c r="W401" s="40"/>
    </row>
    <row r="402" ht="12.75" customHeight="1">
      <c r="B402" s="24"/>
      <c r="C402" s="24"/>
      <c r="Q402" s="40"/>
      <c r="R402" s="40"/>
      <c r="S402" s="40"/>
      <c r="T402" s="40"/>
      <c r="U402" s="40"/>
      <c r="V402" s="40"/>
      <c r="W402" s="40"/>
    </row>
    <row r="403" ht="12.75" customHeight="1">
      <c r="B403" s="24"/>
      <c r="C403" s="24"/>
      <c r="Q403" s="40"/>
      <c r="R403" s="40"/>
      <c r="S403" s="40"/>
      <c r="T403" s="40"/>
      <c r="U403" s="40"/>
      <c r="V403" s="40"/>
      <c r="W403" s="40"/>
    </row>
    <row r="404" ht="12.75" customHeight="1">
      <c r="B404" s="24"/>
      <c r="C404" s="24"/>
      <c r="Q404" s="40"/>
      <c r="R404" s="40"/>
      <c r="S404" s="40"/>
      <c r="T404" s="40"/>
      <c r="U404" s="40"/>
      <c r="V404" s="40"/>
      <c r="W404" s="40"/>
    </row>
    <row r="405" ht="12.75" customHeight="1">
      <c r="B405" s="24"/>
      <c r="C405" s="24"/>
      <c r="Q405" s="40"/>
      <c r="R405" s="40"/>
      <c r="S405" s="40"/>
      <c r="T405" s="40"/>
      <c r="U405" s="40"/>
      <c r="V405" s="40"/>
      <c r="W405" s="40"/>
    </row>
    <row r="406" ht="12.75" customHeight="1">
      <c r="B406" s="24"/>
      <c r="C406" s="24"/>
      <c r="Q406" s="40"/>
      <c r="R406" s="40"/>
      <c r="S406" s="40"/>
      <c r="T406" s="40"/>
      <c r="U406" s="40"/>
      <c r="V406" s="40"/>
      <c r="W406" s="40"/>
    </row>
    <row r="407" ht="12.75" customHeight="1">
      <c r="B407" s="24"/>
      <c r="C407" s="24"/>
      <c r="Q407" s="40"/>
      <c r="R407" s="40"/>
      <c r="S407" s="40"/>
      <c r="T407" s="40"/>
      <c r="U407" s="40"/>
      <c r="V407" s="40"/>
      <c r="W407" s="40"/>
    </row>
    <row r="408" ht="12.75" customHeight="1">
      <c r="B408" s="24"/>
      <c r="C408" s="24"/>
      <c r="Q408" s="40"/>
      <c r="R408" s="40"/>
      <c r="S408" s="40"/>
      <c r="T408" s="40"/>
      <c r="U408" s="40"/>
      <c r="V408" s="40"/>
      <c r="W408" s="40"/>
    </row>
    <row r="409" ht="12.75" customHeight="1">
      <c r="B409" s="24"/>
      <c r="C409" s="24"/>
      <c r="Q409" s="40"/>
      <c r="R409" s="40"/>
      <c r="S409" s="40"/>
      <c r="T409" s="40"/>
      <c r="U409" s="40"/>
      <c r="V409" s="40"/>
      <c r="W409" s="40"/>
    </row>
    <row r="410" ht="12.75" customHeight="1">
      <c r="B410" s="24"/>
      <c r="C410" s="24"/>
      <c r="Q410" s="40"/>
      <c r="R410" s="40"/>
      <c r="S410" s="40"/>
      <c r="T410" s="40"/>
      <c r="U410" s="40"/>
      <c r="V410" s="40"/>
      <c r="W410" s="40"/>
    </row>
    <row r="411" ht="12.75" customHeight="1">
      <c r="B411" s="24"/>
      <c r="C411" s="24"/>
      <c r="Q411" s="40"/>
      <c r="R411" s="40"/>
      <c r="S411" s="40"/>
      <c r="T411" s="40"/>
      <c r="U411" s="40"/>
      <c r="V411" s="40"/>
      <c r="W411" s="40"/>
    </row>
    <row r="412" ht="12.75" customHeight="1">
      <c r="B412" s="24"/>
      <c r="C412" s="24"/>
      <c r="Q412" s="40"/>
      <c r="R412" s="40"/>
      <c r="S412" s="40"/>
      <c r="T412" s="40"/>
      <c r="U412" s="40"/>
      <c r="V412" s="40"/>
      <c r="W412" s="40"/>
    </row>
    <row r="413" ht="12.75" customHeight="1">
      <c r="B413" s="24"/>
      <c r="C413" s="24"/>
      <c r="Q413" s="40"/>
      <c r="R413" s="40"/>
      <c r="S413" s="40"/>
      <c r="T413" s="40"/>
      <c r="U413" s="40"/>
      <c r="V413" s="40"/>
      <c r="W413" s="40"/>
    </row>
    <row r="414" ht="12.75" customHeight="1">
      <c r="B414" s="24"/>
      <c r="C414" s="24"/>
      <c r="Q414" s="40"/>
      <c r="R414" s="40"/>
      <c r="S414" s="40"/>
      <c r="T414" s="40"/>
      <c r="U414" s="40"/>
      <c r="V414" s="40"/>
      <c r="W414" s="40"/>
    </row>
    <row r="415" ht="12.75" customHeight="1">
      <c r="B415" s="24"/>
      <c r="C415" s="24"/>
      <c r="Q415" s="40"/>
      <c r="R415" s="40"/>
      <c r="S415" s="40"/>
      <c r="T415" s="40"/>
      <c r="U415" s="40"/>
      <c r="V415" s="40"/>
      <c r="W415" s="40"/>
    </row>
    <row r="416" ht="12.75" customHeight="1">
      <c r="B416" s="24"/>
      <c r="C416" s="24"/>
      <c r="Q416" s="40"/>
      <c r="R416" s="40"/>
      <c r="S416" s="40"/>
      <c r="T416" s="40"/>
      <c r="U416" s="40"/>
      <c r="V416" s="40"/>
      <c r="W416" s="40"/>
    </row>
    <row r="417" ht="12.75" customHeight="1">
      <c r="B417" s="24"/>
      <c r="C417" s="24"/>
      <c r="Q417" s="40"/>
      <c r="R417" s="40"/>
      <c r="S417" s="40"/>
      <c r="T417" s="40"/>
      <c r="U417" s="40"/>
      <c r="V417" s="40"/>
      <c r="W417" s="40"/>
    </row>
    <row r="418" ht="12.75" customHeight="1">
      <c r="B418" s="24"/>
      <c r="C418" s="24"/>
      <c r="Q418" s="40"/>
      <c r="R418" s="40"/>
      <c r="S418" s="40"/>
      <c r="T418" s="40"/>
      <c r="U418" s="40"/>
      <c r="V418" s="40"/>
      <c r="W418" s="40"/>
    </row>
    <row r="419" ht="12.75" customHeight="1">
      <c r="B419" s="24"/>
      <c r="C419" s="24"/>
      <c r="Q419" s="40"/>
      <c r="R419" s="40"/>
      <c r="S419" s="40"/>
      <c r="T419" s="40"/>
      <c r="U419" s="40"/>
      <c r="V419" s="40"/>
      <c r="W419" s="40"/>
    </row>
    <row r="420" ht="12.75" customHeight="1">
      <c r="B420" s="24"/>
      <c r="C420" s="24"/>
      <c r="Q420" s="40"/>
      <c r="R420" s="40"/>
      <c r="S420" s="40"/>
      <c r="T420" s="40"/>
      <c r="U420" s="40"/>
      <c r="V420" s="40"/>
      <c r="W420" s="40"/>
    </row>
    <row r="421" ht="12.75" customHeight="1">
      <c r="B421" s="24"/>
      <c r="C421" s="24"/>
      <c r="Q421" s="40"/>
      <c r="R421" s="40"/>
      <c r="S421" s="40"/>
      <c r="T421" s="40"/>
      <c r="U421" s="40"/>
      <c r="V421" s="40"/>
      <c r="W421" s="40"/>
    </row>
    <row r="422" ht="12.75" customHeight="1">
      <c r="B422" s="24"/>
      <c r="C422" s="24"/>
      <c r="Q422" s="40"/>
      <c r="R422" s="40"/>
      <c r="S422" s="40"/>
      <c r="T422" s="40"/>
      <c r="U422" s="40"/>
      <c r="V422" s="40"/>
      <c r="W422" s="40"/>
    </row>
    <row r="423" ht="12.75" customHeight="1">
      <c r="B423" s="24"/>
      <c r="C423" s="24"/>
      <c r="Q423" s="40"/>
      <c r="R423" s="40"/>
      <c r="S423" s="40"/>
      <c r="T423" s="40"/>
      <c r="U423" s="40"/>
      <c r="V423" s="40"/>
      <c r="W423" s="40"/>
    </row>
    <row r="424" ht="12.75" customHeight="1">
      <c r="B424" s="24"/>
      <c r="C424" s="24"/>
      <c r="Q424" s="40"/>
      <c r="R424" s="40"/>
      <c r="S424" s="40"/>
      <c r="T424" s="40"/>
      <c r="U424" s="40"/>
      <c r="V424" s="40"/>
      <c r="W424" s="40"/>
    </row>
    <row r="425" ht="12.75" customHeight="1">
      <c r="B425" s="24"/>
      <c r="C425" s="24"/>
      <c r="Q425" s="40"/>
      <c r="R425" s="40"/>
      <c r="S425" s="40"/>
      <c r="T425" s="40"/>
      <c r="U425" s="40"/>
      <c r="V425" s="40"/>
      <c r="W425" s="40"/>
    </row>
    <row r="426" ht="12.75" customHeight="1">
      <c r="B426" s="24"/>
      <c r="C426" s="24"/>
      <c r="Q426" s="40"/>
      <c r="R426" s="40"/>
      <c r="S426" s="40"/>
      <c r="T426" s="40"/>
      <c r="U426" s="40"/>
      <c r="V426" s="40"/>
      <c r="W426" s="40"/>
    </row>
    <row r="427" ht="12.75" customHeight="1">
      <c r="B427" s="24"/>
      <c r="C427" s="24"/>
      <c r="Q427" s="40"/>
      <c r="R427" s="40"/>
      <c r="S427" s="40"/>
      <c r="T427" s="40"/>
      <c r="U427" s="40"/>
      <c r="V427" s="40"/>
      <c r="W427" s="40"/>
    </row>
    <row r="428" ht="12.75" customHeight="1">
      <c r="B428" s="24"/>
      <c r="C428" s="24"/>
      <c r="Q428" s="40"/>
      <c r="R428" s="40"/>
      <c r="S428" s="40"/>
      <c r="T428" s="40"/>
      <c r="U428" s="40"/>
      <c r="V428" s="40"/>
      <c r="W428" s="40"/>
    </row>
    <row r="429" ht="12.75" customHeight="1">
      <c r="B429" s="24"/>
      <c r="C429" s="24"/>
      <c r="Q429" s="40"/>
      <c r="R429" s="40"/>
      <c r="S429" s="40"/>
      <c r="T429" s="40"/>
      <c r="U429" s="40"/>
      <c r="V429" s="40"/>
      <c r="W429" s="40"/>
    </row>
    <row r="430" ht="12.75" customHeight="1">
      <c r="B430" s="24"/>
      <c r="C430" s="24"/>
      <c r="Q430" s="40"/>
      <c r="R430" s="40"/>
      <c r="S430" s="40"/>
      <c r="T430" s="40"/>
      <c r="U430" s="40"/>
      <c r="V430" s="40"/>
      <c r="W430" s="40"/>
    </row>
    <row r="431" ht="12.75" customHeight="1">
      <c r="B431" s="24"/>
      <c r="C431" s="24"/>
      <c r="Q431" s="40"/>
      <c r="R431" s="40"/>
      <c r="S431" s="40"/>
      <c r="T431" s="40"/>
      <c r="U431" s="40"/>
      <c r="V431" s="40"/>
      <c r="W431" s="40"/>
    </row>
    <row r="432" ht="12.75" customHeight="1">
      <c r="B432" s="24"/>
      <c r="C432" s="24"/>
      <c r="Q432" s="40"/>
      <c r="R432" s="40"/>
      <c r="S432" s="40"/>
      <c r="T432" s="40"/>
      <c r="U432" s="40"/>
      <c r="V432" s="40"/>
      <c r="W432" s="40"/>
    </row>
    <row r="433" ht="12.75" customHeight="1">
      <c r="B433" s="24"/>
      <c r="C433" s="24"/>
      <c r="Q433" s="40"/>
      <c r="R433" s="40"/>
      <c r="S433" s="40"/>
      <c r="T433" s="40"/>
      <c r="U433" s="40"/>
      <c r="V433" s="40"/>
      <c r="W433" s="40"/>
    </row>
    <row r="434" ht="12.75" customHeight="1">
      <c r="B434" s="24"/>
      <c r="C434" s="24"/>
      <c r="Q434" s="40"/>
      <c r="R434" s="40"/>
      <c r="S434" s="40"/>
      <c r="T434" s="40"/>
      <c r="U434" s="40"/>
      <c r="V434" s="40"/>
      <c r="W434" s="40"/>
    </row>
    <row r="435" ht="12.75" customHeight="1">
      <c r="B435" s="24"/>
      <c r="C435" s="24"/>
      <c r="Q435" s="40"/>
      <c r="R435" s="40"/>
      <c r="S435" s="40"/>
      <c r="T435" s="40"/>
      <c r="U435" s="40"/>
      <c r="V435" s="40"/>
      <c r="W435" s="40"/>
    </row>
    <row r="436" ht="12.75" customHeight="1">
      <c r="B436" s="24"/>
      <c r="C436" s="24"/>
      <c r="Q436" s="40"/>
      <c r="R436" s="40"/>
      <c r="S436" s="40"/>
      <c r="T436" s="40"/>
      <c r="U436" s="40"/>
      <c r="V436" s="40"/>
      <c r="W436" s="40"/>
    </row>
    <row r="437" ht="12.75" customHeight="1">
      <c r="B437" s="24"/>
      <c r="C437" s="24"/>
      <c r="Q437" s="40"/>
      <c r="R437" s="40"/>
      <c r="S437" s="40"/>
      <c r="T437" s="40"/>
      <c r="U437" s="40"/>
      <c r="V437" s="40"/>
      <c r="W437" s="40"/>
    </row>
    <row r="438" ht="12.75" customHeight="1">
      <c r="B438" s="24"/>
      <c r="C438" s="24"/>
      <c r="Q438" s="40"/>
      <c r="R438" s="40"/>
      <c r="S438" s="40"/>
      <c r="T438" s="40"/>
      <c r="U438" s="40"/>
      <c r="V438" s="40"/>
      <c r="W438" s="40"/>
    </row>
    <row r="439" ht="12.75" customHeight="1">
      <c r="B439" s="24"/>
      <c r="C439" s="24"/>
      <c r="Q439" s="40"/>
      <c r="R439" s="40"/>
      <c r="S439" s="40"/>
      <c r="T439" s="40"/>
      <c r="U439" s="40"/>
      <c r="V439" s="40"/>
      <c r="W439" s="40"/>
    </row>
    <row r="440" ht="12.75" customHeight="1">
      <c r="B440" s="24"/>
      <c r="C440" s="24"/>
      <c r="Q440" s="40"/>
      <c r="R440" s="40"/>
      <c r="S440" s="40"/>
      <c r="T440" s="40"/>
      <c r="U440" s="40"/>
      <c r="V440" s="40"/>
      <c r="W440" s="40"/>
    </row>
    <row r="441" ht="12.75" customHeight="1">
      <c r="B441" s="24"/>
      <c r="C441" s="24"/>
      <c r="Q441" s="40"/>
      <c r="R441" s="40"/>
      <c r="S441" s="40"/>
      <c r="T441" s="40"/>
      <c r="U441" s="40"/>
      <c r="V441" s="40"/>
      <c r="W441" s="40"/>
    </row>
    <row r="442" ht="12.75" customHeight="1">
      <c r="B442" s="24"/>
      <c r="C442" s="24"/>
      <c r="Q442" s="40"/>
      <c r="R442" s="40"/>
      <c r="S442" s="40"/>
      <c r="T442" s="40"/>
      <c r="U442" s="40"/>
      <c r="V442" s="40"/>
      <c r="W442" s="40"/>
    </row>
    <row r="443" ht="12.75" customHeight="1">
      <c r="B443" s="24"/>
      <c r="C443" s="24"/>
      <c r="Q443" s="40"/>
      <c r="R443" s="40"/>
      <c r="S443" s="40"/>
      <c r="T443" s="40"/>
      <c r="U443" s="40"/>
      <c r="V443" s="40"/>
      <c r="W443" s="40"/>
    </row>
    <row r="444" ht="12.75" customHeight="1">
      <c r="B444" s="24"/>
      <c r="C444" s="24"/>
      <c r="Q444" s="40"/>
      <c r="R444" s="40"/>
      <c r="S444" s="40"/>
      <c r="T444" s="40"/>
      <c r="U444" s="40"/>
      <c r="V444" s="40"/>
      <c r="W444" s="40"/>
    </row>
    <row r="445" ht="12.75" customHeight="1">
      <c r="B445" s="24"/>
      <c r="C445" s="24"/>
      <c r="Q445" s="40"/>
      <c r="R445" s="40"/>
      <c r="S445" s="40"/>
      <c r="T445" s="40"/>
      <c r="U445" s="40"/>
      <c r="V445" s="40"/>
      <c r="W445" s="40"/>
    </row>
    <row r="446" ht="12.75" customHeight="1">
      <c r="B446" s="24"/>
      <c r="C446" s="24"/>
      <c r="Q446" s="40"/>
      <c r="R446" s="40"/>
      <c r="S446" s="40"/>
      <c r="T446" s="40"/>
      <c r="U446" s="40"/>
      <c r="V446" s="40"/>
      <c r="W446" s="40"/>
    </row>
    <row r="447" ht="12.75" customHeight="1">
      <c r="B447" s="24"/>
      <c r="C447" s="24"/>
      <c r="Q447" s="40"/>
      <c r="R447" s="40"/>
      <c r="S447" s="40"/>
      <c r="T447" s="40"/>
      <c r="U447" s="40"/>
      <c r="V447" s="40"/>
      <c r="W447" s="40"/>
    </row>
    <row r="448" ht="12.75" customHeight="1">
      <c r="B448" s="24"/>
      <c r="C448" s="24"/>
      <c r="Q448" s="40"/>
      <c r="R448" s="40"/>
      <c r="S448" s="40"/>
      <c r="T448" s="40"/>
      <c r="U448" s="40"/>
      <c r="V448" s="40"/>
      <c r="W448" s="40"/>
    </row>
    <row r="449" ht="12.75" customHeight="1">
      <c r="B449" s="24"/>
      <c r="C449" s="24"/>
      <c r="Q449" s="40"/>
      <c r="R449" s="40"/>
      <c r="S449" s="40"/>
      <c r="T449" s="40"/>
      <c r="U449" s="40"/>
      <c r="V449" s="40"/>
      <c r="W449" s="40"/>
    </row>
    <row r="450" ht="12.75" customHeight="1">
      <c r="B450" s="24"/>
      <c r="C450" s="24"/>
      <c r="Q450" s="40"/>
      <c r="R450" s="40"/>
      <c r="S450" s="40"/>
      <c r="T450" s="40"/>
      <c r="U450" s="40"/>
      <c r="V450" s="40"/>
      <c r="W450" s="40"/>
    </row>
    <row r="451" ht="12.75" customHeight="1">
      <c r="B451" s="24"/>
      <c r="C451" s="24"/>
      <c r="Q451" s="40"/>
      <c r="R451" s="40"/>
      <c r="S451" s="40"/>
      <c r="T451" s="40"/>
      <c r="U451" s="40"/>
      <c r="V451" s="40"/>
      <c r="W451" s="40"/>
    </row>
    <row r="452" ht="12.75" customHeight="1">
      <c r="B452" s="24"/>
      <c r="C452" s="24"/>
      <c r="Q452" s="40"/>
      <c r="R452" s="40"/>
      <c r="S452" s="40"/>
      <c r="T452" s="40"/>
      <c r="U452" s="40"/>
      <c r="V452" s="40"/>
      <c r="W452" s="40"/>
    </row>
    <row r="453" ht="12.75" customHeight="1">
      <c r="B453" s="24"/>
      <c r="C453" s="24"/>
      <c r="Q453" s="40"/>
      <c r="R453" s="40"/>
      <c r="S453" s="40"/>
      <c r="T453" s="40"/>
      <c r="U453" s="40"/>
      <c r="V453" s="40"/>
      <c r="W453" s="40"/>
    </row>
    <row r="454" ht="12.75" customHeight="1">
      <c r="B454" s="24"/>
      <c r="C454" s="24"/>
      <c r="Q454" s="40"/>
      <c r="R454" s="40"/>
      <c r="S454" s="40"/>
      <c r="T454" s="40"/>
      <c r="U454" s="40"/>
      <c r="V454" s="40"/>
      <c r="W454" s="40"/>
    </row>
    <row r="455" ht="12.75" customHeight="1">
      <c r="B455" s="24"/>
      <c r="C455" s="24"/>
      <c r="Q455" s="40"/>
      <c r="R455" s="40"/>
      <c r="S455" s="40"/>
      <c r="T455" s="40"/>
      <c r="U455" s="40"/>
      <c r="V455" s="40"/>
      <c r="W455" s="40"/>
    </row>
    <row r="456" ht="12.75" customHeight="1">
      <c r="B456" s="24"/>
      <c r="C456" s="24"/>
      <c r="Q456" s="40"/>
      <c r="R456" s="40"/>
      <c r="S456" s="40"/>
      <c r="T456" s="40"/>
      <c r="U456" s="40"/>
      <c r="V456" s="40"/>
      <c r="W456" s="40"/>
    </row>
    <row r="457" ht="12.75" customHeight="1">
      <c r="B457" s="24"/>
      <c r="C457" s="24"/>
      <c r="Q457" s="40"/>
      <c r="R457" s="40"/>
      <c r="S457" s="40"/>
      <c r="T457" s="40"/>
      <c r="U457" s="40"/>
      <c r="V457" s="40"/>
      <c r="W457" s="40"/>
    </row>
    <row r="458" ht="12.75" customHeight="1">
      <c r="B458" s="24"/>
      <c r="C458" s="24"/>
      <c r="Q458" s="40"/>
      <c r="R458" s="40"/>
      <c r="S458" s="40"/>
      <c r="T458" s="40"/>
      <c r="U458" s="40"/>
      <c r="V458" s="40"/>
      <c r="W458" s="40"/>
    </row>
    <row r="459" ht="12.75" customHeight="1">
      <c r="B459" s="24"/>
      <c r="C459" s="24"/>
      <c r="Q459" s="40"/>
      <c r="R459" s="40"/>
      <c r="S459" s="40"/>
      <c r="T459" s="40"/>
      <c r="U459" s="40"/>
      <c r="V459" s="40"/>
      <c r="W459" s="40"/>
    </row>
    <row r="460" ht="12.75" customHeight="1">
      <c r="B460" s="24"/>
      <c r="C460" s="24"/>
      <c r="Q460" s="40"/>
      <c r="R460" s="40"/>
      <c r="S460" s="40"/>
      <c r="T460" s="40"/>
      <c r="U460" s="40"/>
      <c r="V460" s="40"/>
      <c r="W460" s="40"/>
    </row>
    <row r="461" ht="12.75" customHeight="1">
      <c r="B461" s="24"/>
      <c r="C461" s="24"/>
      <c r="Q461" s="40"/>
      <c r="R461" s="40"/>
      <c r="S461" s="40"/>
      <c r="T461" s="40"/>
      <c r="U461" s="40"/>
      <c r="V461" s="40"/>
      <c r="W461" s="40"/>
    </row>
    <row r="462" ht="12.75" customHeight="1">
      <c r="B462" s="24"/>
      <c r="C462" s="24"/>
      <c r="Q462" s="40"/>
      <c r="R462" s="40"/>
      <c r="S462" s="40"/>
      <c r="T462" s="40"/>
      <c r="U462" s="40"/>
      <c r="V462" s="40"/>
      <c r="W462" s="40"/>
    </row>
    <row r="463" ht="12.75" customHeight="1">
      <c r="B463" s="24"/>
      <c r="C463" s="24"/>
      <c r="Q463" s="40"/>
      <c r="R463" s="40"/>
      <c r="S463" s="40"/>
      <c r="T463" s="40"/>
      <c r="U463" s="40"/>
      <c r="V463" s="40"/>
      <c r="W463" s="40"/>
    </row>
    <row r="464" ht="12.75" customHeight="1">
      <c r="B464" s="24"/>
      <c r="C464" s="24"/>
      <c r="Q464" s="40"/>
      <c r="R464" s="40"/>
      <c r="S464" s="40"/>
      <c r="T464" s="40"/>
      <c r="U464" s="40"/>
      <c r="V464" s="40"/>
      <c r="W464" s="40"/>
    </row>
    <row r="465" ht="12.75" customHeight="1">
      <c r="B465" s="24"/>
      <c r="C465" s="24"/>
      <c r="Q465" s="40"/>
      <c r="R465" s="40"/>
      <c r="S465" s="40"/>
      <c r="T465" s="40"/>
      <c r="U465" s="40"/>
      <c r="V465" s="40"/>
      <c r="W465" s="40"/>
    </row>
    <row r="466" ht="12.75" customHeight="1">
      <c r="B466" s="24"/>
      <c r="C466" s="24"/>
      <c r="Q466" s="40"/>
      <c r="R466" s="40"/>
      <c r="S466" s="40"/>
      <c r="T466" s="40"/>
      <c r="U466" s="40"/>
      <c r="V466" s="40"/>
      <c r="W466" s="40"/>
    </row>
    <row r="467" ht="12.75" customHeight="1">
      <c r="B467" s="24"/>
      <c r="C467" s="24"/>
      <c r="Q467" s="40"/>
      <c r="R467" s="40"/>
      <c r="S467" s="40"/>
      <c r="T467" s="40"/>
      <c r="U467" s="40"/>
      <c r="V467" s="40"/>
      <c r="W467" s="40"/>
    </row>
    <row r="468" ht="12.75" customHeight="1">
      <c r="B468" s="24"/>
      <c r="C468" s="24"/>
      <c r="Q468" s="40"/>
      <c r="R468" s="40"/>
      <c r="S468" s="40"/>
      <c r="T468" s="40"/>
      <c r="U468" s="40"/>
      <c r="V468" s="40"/>
      <c r="W468" s="40"/>
    </row>
    <row r="469" ht="12.75" customHeight="1">
      <c r="B469" s="24"/>
      <c r="C469" s="24"/>
      <c r="Q469" s="40"/>
      <c r="R469" s="40"/>
      <c r="S469" s="40"/>
      <c r="T469" s="40"/>
      <c r="U469" s="40"/>
      <c r="V469" s="40"/>
      <c r="W469" s="40"/>
    </row>
    <row r="470" ht="12.75" customHeight="1">
      <c r="B470" s="24"/>
      <c r="C470" s="24"/>
      <c r="Q470" s="40"/>
      <c r="R470" s="40"/>
      <c r="S470" s="40"/>
      <c r="T470" s="40"/>
      <c r="U470" s="40"/>
      <c r="V470" s="40"/>
      <c r="W470" s="40"/>
    </row>
    <row r="471" ht="12.75" customHeight="1">
      <c r="B471" s="24"/>
      <c r="C471" s="24"/>
      <c r="Q471" s="40"/>
      <c r="R471" s="40"/>
      <c r="S471" s="40"/>
      <c r="T471" s="40"/>
      <c r="U471" s="40"/>
      <c r="V471" s="40"/>
      <c r="W471" s="40"/>
    </row>
    <row r="472" ht="12.75" customHeight="1">
      <c r="B472" s="24"/>
      <c r="C472" s="24"/>
      <c r="Q472" s="40"/>
      <c r="R472" s="40"/>
      <c r="S472" s="40"/>
      <c r="T472" s="40"/>
      <c r="U472" s="40"/>
      <c r="V472" s="40"/>
      <c r="W472" s="40"/>
    </row>
    <row r="473" ht="12.75" customHeight="1">
      <c r="B473" s="24"/>
      <c r="C473" s="24"/>
      <c r="Q473" s="40"/>
      <c r="R473" s="40"/>
      <c r="S473" s="40"/>
      <c r="T473" s="40"/>
      <c r="U473" s="40"/>
      <c r="V473" s="40"/>
      <c r="W473" s="40"/>
    </row>
    <row r="474" ht="12.75" customHeight="1">
      <c r="B474" s="24"/>
      <c r="C474" s="24"/>
      <c r="Q474" s="40"/>
      <c r="R474" s="40"/>
      <c r="S474" s="40"/>
      <c r="T474" s="40"/>
      <c r="U474" s="40"/>
      <c r="V474" s="40"/>
      <c r="W474" s="40"/>
    </row>
    <row r="475" ht="12.75" customHeight="1">
      <c r="B475" s="24"/>
      <c r="C475" s="24"/>
      <c r="Q475" s="40"/>
      <c r="R475" s="40"/>
      <c r="S475" s="40"/>
      <c r="T475" s="40"/>
      <c r="U475" s="40"/>
      <c r="V475" s="40"/>
      <c r="W475" s="40"/>
    </row>
    <row r="476" ht="12.75" customHeight="1">
      <c r="B476" s="24"/>
      <c r="C476" s="24"/>
      <c r="Q476" s="40"/>
      <c r="R476" s="40"/>
      <c r="S476" s="40"/>
      <c r="T476" s="40"/>
      <c r="U476" s="40"/>
      <c r="V476" s="40"/>
      <c r="W476" s="40"/>
    </row>
    <row r="477" ht="12.75" customHeight="1">
      <c r="B477" s="24"/>
      <c r="C477" s="24"/>
      <c r="Q477" s="40"/>
      <c r="R477" s="40"/>
      <c r="S477" s="40"/>
      <c r="T477" s="40"/>
      <c r="U477" s="40"/>
      <c r="V477" s="40"/>
      <c r="W477" s="40"/>
    </row>
    <row r="478" ht="12.75" customHeight="1">
      <c r="B478" s="24"/>
      <c r="C478" s="24"/>
      <c r="Q478" s="40"/>
      <c r="R478" s="40"/>
      <c r="S478" s="40"/>
      <c r="T478" s="40"/>
      <c r="U478" s="40"/>
      <c r="V478" s="40"/>
      <c r="W478" s="40"/>
    </row>
    <row r="479" ht="12.75" customHeight="1">
      <c r="B479" s="24"/>
      <c r="C479" s="24"/>
      <c r="Q479" s="40"/>
      <c r="R479" s="40"/>
      <c r="S479" s="40"/>
      <c r="T479" s="40"/>
      <c r="U479" s="40"/>
      <c r="V479" s="40"/>
      <c r="W479" s="40"/>
    </row>
    <row r="480" ht="12.75" customHeight="1">
      <c r="B480" s="24"/>
      <c r="C480" s="24"/>
      <c r="Q480" s="40"/>
      <c r="R480" s="40"/>
      <c r="S480" s="40"/>
      <c r="T480" s="40"/>
      <c r="U480" s="40"/>
      <c r="V480" s="40"/>
      <c r="W480" s="40"/>
    </row>
    <row r="481" ht="12.75" customHeight="1">
      <c r="B481" s="24"/>
      <c r="C481" s="24"/>
      <c r="Q481" s="40"/>
      <c r="R481" s="40"/>
      <c r="S481" s="40"/>
      <c r="T481" s="40"/>
      <c r="U481" s="40"/>
      <c r="V481" s="40"/>
      <c r="W481" s="40"/>
    </row>
    <row r="482" ht="12.75" customHeight="1">
      <c r="B482" s="24"/>
      <c r="C482" s="24"/>
      <c r="Q482" s="40"/>
      <c r="R482" s="40"/>
      <c r="S482" s="40"/>
      <c r="T482" s="40"/>
      <c r="U482" s="40"/>
      <c r="V482" s="40"/>
      <c r="W482" s="40"/>
    </row>
    <row r="483" ht="12.75" customHeight="1">
      <c r="B483" s="24"/>
      <c r="C483" s="24"/>
      <c r="Q483" s="40"/>
      <c r="R483" s="40"/>
      <c r="S483" s="40"/>
      <c r="T483" s="40"/>
      <c r="U483" s="40"/>
      <c r="V483" s="40"/>
      <c r="W483" s="40"/>
    </row>
    <row r="484" ht="12.75" customHeight="1">
      <c r="B484" s="24"/>
      <c r="C484" s="24"/>
      <c r="Q484" s="40"/>
      <c r="R484" s="40"/>
      <c r="S484" s="40"/>
      <c r="T484" s="40"/>
      <c r="U484" s="40"/>
      <c r="V484" s="40"/>
      <c r="W484" s="40"/>
    </row>
    <row r="485" ht="12.75" customHeight="1">
      <c r="B485" s="24"/>
      <c r="C485" s="24"/>
      <c r="Q485" s="40"/>
      <c r="R485" s="40"/>
      <c r="S485" s="40"/>
      <c r="T485" s="40"/>
      <c r="U485" s="40"/>
      <c r="V485" s="40"/>
      <c r="W485" s="40"/>
    </row>
    <row r="486" ht="12.75" customHeight="1">
      <c r="B486" s="24"/>
      <c r="C486" s="24"/>
      <c r="Q486" s="40"/>
      <c r="R486" s="40"/>
      <c r="S486" s="40"/>
      <c r="T486" s="40"/>
      <c r="U486" s="40"/>
      <c r="V486" s="40"/>
      <c r="W486" s="40"/>
    </row>
    <row r="487" ht="12.75" customHeight="1">
      <c r="B487" s="24"/>
      <c r="C487" s="24"/>
      <c r="Q487" s="40"/>
      <c r="R487" s="40"/>
      <c r="S487" s="40"/>
      <c r="T487" s="40"/>
      <c r="U487" s="40"/>
      <c r="V487" s="40"/>
      <c r="W487" s="40"/>
    </row>
    <row r="488" ht="12.75" customHeight="1">
      <c r="B488" s="24"/>
      <c r="C488" s="24"/>
      <c r="Q488" s="40"/>
      <c r="R488" s="40"/>
      <c r="S488" s="40"/>
      <c r="T488" s="40"/>
      <c r="U488" s="40"/>
      <c r="V488" s="40"/>
      <c r="W488" s="40"/>
    </row>
    <row r="489" ht="12.75" customHeight="1">
      <c r="B489" s="24"/>
      <c r="C489" s="24"/>
      <c r="Q489" s="40"/>
      <c r="R489" s="40"/>
      <c r="S489" s="40"/>
      <c r="T489" s="40"/>
      <c r="U489" s="40"/>
      <c r="V489" s="40"/>
      <c r="W489" s="40"/>
    </row>
    <row r="490" ht="12.75" customHeight="1">
      <c r="B490" s="24"/>
      <c r="C490" s="24"/>
      <c r="Q490" s="40"/>
      <c r="R490" s="40"/>
      <c r="S490" s="40"/>
      <c r="T490" s="40"/>
      <c r="U490" s="40"/>
      <c r="V490" s="40"/>
      <c r="W490" s="40"/>
    </row>
    <row r="491" ht="12.75" customHeight="1">
      <c r="B491" s="24"/>
      <c r="C491" s="24"/>
      <c r="Q491" s="40"/>
      <c r="R491" s="40"/>
      <c r="S491" s="40"/>
      <c r="T491" s="40"/>
      <c r="U491" s="40"/>
      <c r="V491" s="40"/>
      <c r="W491" s="40"/>
    </row>
    <row r="492" ht="12.75" customHeight="1">
      <c r="B492" s="24"/>
      <c r="C492" s="24"/>
      <c r="Q492" s="40"/>
      <c r="R492" s="40"/>
      <c r="S492" s="40"/>
      <c r="T492" s="40"/>
      <c r="U492" s="40"/>
      <c r="V492" s="40"/>
      <c r="W492" s="40"/>
    </row>
    <row r="493" ht="12.75" customHeight="1">
      <c r="B493" s="24"/>
      <c r="C493" s="24"/>
      <c r="Q493" s="40"/>
      <c r="R493" s="40"/>
      <c r="S493" s="40"/>
      <c r="T493" s="40"/>
      <c r="U493" s="40"/>
      <c r="V493" s="40"/>
      <c r="W493" s="40"/>
    </row>
    <row r="494" ht="12.75" customHeight="1">
      <c r="B494" s="24"/>
      <c r="C494" s="24"/>
      <c r="Q494" s="40"/>
      <c r="R494" s="40"/>
      <c r="S494" s="40"/>
      <c r="T494" s="40"/>
      <c r="U494" s="40"/>
      <c r="V494" s="40"/>
      <c r="W494" s="40"/>
    </row>
    <row r="495" ht="12.75" customHeight="1">
      <c r="B495" s="24"/>
      <c r="C495" s="24"/>
      <c r="Q495" s="40"/>
      <c r="R495" s="40"/>
      <c r="S495" s="40"/>
      <c r="T495" s="40"/>
      <c r="U495" s="40"/>
      <c r="V495" s="40"/>
      <c r="W495" s="40"/>
    </row>
    <row r="496" ht="12.75" customHeight="1">
      <c r="B496" s="24"/>
      <c r="C496" s="24"/>
      <c r="Q496" s="40"/>
      <c r="R496" s="40"/>
      <c r="S496" s="40"/>
      <c r="T496" s="40"/>
      <c r="U496" s="40"/>
      <c r="V496" s="40"/>
      <c r="W496" s="40"/>
    </row>
    <row r="497" ht="12.75" customHeight="1">
      <c r="B497" s="24"/>
      <c r="C497" s="24"/>
      <c r="Q497" s="40"/>
      <c r="R497" s="40"/>
      <c r="S497" s="40"/>
      <c r="T497" s="40"/>
      <c r="U497" s="40"/>
      <c r="V497" s="40"/>
      <c r="W497" s="40"/>
    </row>
    <row r="498" ht="12.75" customHeight="1">
      <c r="B498" s="24"/>
      <c r="C498" s="24"/>
      <c r="Q498" s="40"/>
      <c r="R498" s="40"/>
      <c r="S498" s="40"/>
      <c r="T498" s="40"/>
      <c r="U498" s="40"/>
      <c r="V498" s="40"/>
      <c r="W498" s="40"/>
    </row>
    <row r="499" ht="12.75" customHeight="1">
      <c r="B499" s="24"/>
      <c r="C499" s="24"/>
      <c r="Q499" s="40"/>
      <c r="R499" s="40"/>
      <c r="S499" s="40"/>
      <c r="T499" s="40"/>
      <c r="U499" s="40"/>
      <c r="V499" s="40"/>
      <c r="W499" s="40"/>
    </row>
    <row r="500" ht="12.75" customHeight="1">
      <c r="B500" s="24"/>
      <c r="C500" s="24"/>
      <c r="Q500" s="40"/>
      <c r="R500" s="40"/>
      <c r="S500" s="40"/>
      <c r="T500" s="40"/>
      <c r="U500" s="40"/>
      <c r="V500" s="40"/>
      <c r="W500" s="40"/>
    </row>
    <row r="501" ht="12.75" customHeight="1">
      <c r="B501" s="24"/>
      <c r="C501" s="24"/>
      <c r="Q501" s="40"/>
      <c r="R501" s="40"/>
      <c r="S501" s="40"/>
      <c r="T501" s="40"/>
      <c r="U501" s="40"/>
      <c r="V501" s="40"/>
      <c r="W501" s="40"/>
    </row>
    <row r="502" ht="12.75" customHeight="1">
      <c r="B502" s="24"/>
      <c r="C502" s="24"/>
      <c r="Q502" s="40"/>
      <c r="R502" s="40"/>
      <c r="S502" s="40"/>
      <c r="T502" s="40"/>
      <c r="U502" s="40"/>
      <c r="V502" s="40"/>
      <c r="W502" s="40"/>
    </row>
    <row r="503" ht="12.75" customHeight="1">
      <c r="B503" s="24"/>
      <c r="C503" s="24"/>
      <c r="Q503" s="40"/>
      <c r="R503" s="40"/>
      <c r="S503" s="40"/>
      <c r="T503" s="40"/>
      <c r="U503" s="40"/>
      <c r="V503" s="40"/>
      <c r="W503" s="40"/>
    </row>
    <row r="504" ht="12.75" customHeight="1">
      <c r="B504" s="24"/>
      <c r="C504" s="24"/>
      <c r="Q504" s="40"/>
      <c r="R504" s="40"/>
      <c r="S504" s="40"/>
      <c r="T504" s="40"/>
      <c r="U504" s="40"/>
      <c r="V504" s="40"/>
      <c r="W504" s="40"/>
    </row>
    <row r="505" ht="12.75" customHeight="1">
      <c r="B505" s="24"/>
      <c r="C505" s="24"/>
      <c r="Q505" s="40"/>
      <c r="R505" s="40"/>
      <c r="S505" s="40"/>
      <c r="T505" s="40"/>
      <c r="U505" s="40"/>
      <c r="V505" s="40"/>
      <c r="W505" s="40"/>
    </row>
    <row r="506" ht="12.75" customHeight="1">
      <c r="B506" s="24"/>
      <c r="C506" s="24"/>
      <c r="Q506" s="40"/>
      <c r="R506" s="40"/>
      <c r="S506" s="40"/>
      <c r="T506" s="40"/>
      <c r="U506" s="40"/>
      <c r="V506" s="40"/>
      <c r="W506" s="40"/>
    </row>
    <row r="507" ht="12.75" customHeight="1">
      <c r="B507" s="24"/>
      <c r="C507" s="24"/>
      <c r="Q507" s="40"/>
      <c r="R507" s="40"/>
      <c r="S507" s="40"/>
      <c r="T507" s="40"/>
      <c r="U507" s="40"/>
      <c r="V507" s="40"/>
      <c r="W507" s="40"/>
    </row>
    <row r="508" ht="12.75" customHeight="1">
      <c r="B508" s="24"/>
      <c r="C508" s="24"/>
      <c r="Q508" s="40"/>
      <c r="R508" s="40"/>
      <c r="S508" s="40"/>
      <c r="T508" s="40"/>
      <c r="U508" s="40"/>
      <c r="V508" s="40"/>
      <c r="W508" s="40"/>
    </row>
    <row r="509" ht="12.75" customHeight="1">
      <c r="B509" s="24"/>
      <c r="C509" s="24"/>
      <c r="Q509" s="40"/>
      <c r="R509" s="40"/>
      <c r="S509" s="40"/>
      <c r="T509" s="40"/>
      <c r="U509" s="40"/>
      <c r="V509" s="40"/>
      <c r="W509" s="40"/>
    </row>
    <row r="510" ht="12.75" customHeight="1">
      <c r="B510" s="24"/>
      <c r="C510" s="24"/>
      <c r="Q510" s="40"/>
      <c r="R510" s="40"/>
      <c r="S510" s="40"/>
      <c r="T510" s="40"/>
      <c r="U510" s="40"/>
      <c r="V510" s="40"/>
      <c r="W510" s="40"/>
    </row>
    <row r="511" ht="12.75" customHeight="1">
      <c r="B511" s="24"/>
      <c r="C511" s="24"/>
      <c r="Q511" s="40"/>
      <c r="R511" s="40"/>
      <c r="S511" s="40"/>
      <c r="T511" s="40"/>
      <c r="U511" s="40"/>
      <c r="V511" s="40"/>
      <c r="W511" s="40"/>
    </row>
    <row r="512" ht="12.75" customHeight="1">
      <c r="B512" s="24"/>
      <c r="C512" s="24"/>
      <c r="Q512" s="40"/>
      <c r="R512" s="40"/>
      <c r="S512" s="40"/>
      <c r="T512" s="40"/>
      <c r="U512" s="40"/>
      <c r="V512" s="40"/>
      <c r="W512" s="40"/>
    </row>
    <row r="513" ht="12.75" customHeight="1">
      <c r="B513" s="24"/>
      <c r="C513" s="24"/>
      <c r="Q513" s="40"/>
      <c r="R513" s="40"/>
      <c r="S513" s="40"/>
      <c r="T513" s="40"/>
      <c r="U513" s="40"/>
      <c r="V513" s="40"/>
      <c r="W513" s="40"/>
    </row>
    <row r="514" ht="12.75" customHeight="1">
      <c r="B514" s="24"/>
      <c r="C514" s="24"/>
      <c r="Q514" s="40"/>
      <c r="R514" s="40"/>
      <c r="S514" s="40"/>
      <c r="T514" s="40"/>
      <c r="U514" s="40"/>
      <c r="V514" s="40"/>
      <c r="W514" s="40"/>
    </row>
    <row r="515" ht="12.75" customHeight="1">
      <c r="B515" s="24"/>
      <c r="C515" s="24"/>
      <c r="Q515" s="40"/>
      <c r="R515" s="40"/>
      <c r="S515" s="40"/>
      <c r="T515" s="40"/>
      <c r="U515" s="40"/>
      <c r="V515" s="40"/>
      <c r="W515" s="40"/>
    </row>
    <row r="516" ht="12.75" customHeight="1">
      <c r="B516" s="24"/>
      <c r="C516" s="24"/>
      <c r="Q516" s="40"/>
      <c r="R516" s="40"/>
      <c r="S516" s="40"/>
      <c r="T516" s="40"/>
      <c r="U516" s="40"/>
      <c r="V516" s="40"/>
      <c r="W516" s="40"/>
    </row>
    <row r="517" ht="12.75" customHeight="1">
      <c r="B517" s="24"/>
      <c r="C517" s="24"/>
      <c r="Q517" s="40"/>
      <c r="R517" s="40"/>
      <c r="S517" s="40"/>
      <c r="T517" s="40"/>
      <c r="U517" s="40"/>
      <c r="V517" s="40"/>
      <c r="W517" s="40"/>
    </row>
    <row r="518" ht="12.75" customHeight="1">
      <c r="B518" s="24"/>
      <c r="C518" s="24"/>
      <c r="Q518" s="40"/>
      <c r="R518" s="40"/>
      <c r="S518" s="40"/>
      <c r="T518" s="40"/>
      <c r="U518" s="40"/>
      <c r="V518" s="40"/>
      <c r="W518" s="40"/>
    </row>
    <row r="519" ht="12.75" customHeight="1">
      <c r="B519" s="24"/>
      <c r="C519" s="24"/>
      <c r="Q519" s="40"/>
      <c r="R519" s="40"/>
      <c r="S519" s="40"/>
      <c r="T519" s="40"/>
      <c r="U519" s="40"/>
      <c r="V519" s="40"/>
      <c r="W519" s="40"/>
    </row>
    <row r="520" ht="12.75" customHeight="1">
      <c r="B520" s="24"/>
      <c r="C520" s="24"/>
      <c r="Q520" s="40"/>
      <c r="R520" s="40"/>
      <c r="S520" s="40"/>
      <c r="T520" s="40"/>
      <c r="U520" s="40"/>
      <c r="V520" s="40"/>
      <c r="W520" s="40"/>
    </row>
    <row r="521" ht="12.75" customHeight="1">
      <c r="B521" s="24"/>
      <c r="C521" s="24"/>
      <c r="Q521" s="40"/>
      <c r="R521" s="40"/>
      <c r="S521" s="40"/>
      <c r="T521" s="40"/>
      <c r="U521" s="40"/>
      <c r="V521" s="40"/>
      <c r="W521" s="40"/>
    </row>
    <row r="522" ht="12.75" customHeight="1">
      <c r="B522" s="24"/>
      <c r="C522" s="24"/>
      <c r="Q522" s="40"/>
      <c r="R522" s="40"/>
      <c r="S522" s="40"/>
      <c r="T522" s="40"/>
      <c r="U522" s="40"/>
      <c r="V522" s="40"/>
      <c r="W522" s="40"/>
    </row>
    <row r="523" ht="12.75" customHeight="1">
      <c r="B523" s="24"/>
      <c r="C523" s="24"/>
      <c r="Q523" s="40"/>
      <c r="R523" s="40"/>
      <c r="S523" s="40"/>
      <c r="T523" s="40"/>
      <c r="U523" s="40"/>
      <c r="V523" s="40"/>
      <c r="W523" s="40"/>
    </row>
    <row r="524" ht="12.75" customHeight="1">
      <c r="B524" s="24"/>
      <c r="C524" s="24"/>
      <c r="Q524" s="40"/>
      <c r="R524" s="40"/>
      <c r="S524" s="40"/>
      <c r="T524" s="40"/>
      <c r="U524" s="40"/>
      <c r="V524" s="40"/>
      <c r="W524" s="40"/>
    </row>
    <row r="525" ht="12.75" customHeight="1">
      <c r="B525" s="24"/>
      <c r="C525" s="24"/>
      <c r="Q525" s="40"/>
      <c r="R525" s="40"/>
      <c r="S525" s="40"/>
      <c r="T525" s="40"/>
      <c r="U525" s="40"/>
      <c r="V525" s="40"/>
      <c r="W525" s="40"/>
    </row>
    <row r="526" ht="12.75" customHeight="1">
      <c r="B526" s="24"/>
      <c r="C526" s="24"/>
      <c r="Q526" s="40"/>
      <c r="R526" s="40"/>
      <c r="S526" s="40"/>
      <c r="T526" s="40"/>
      <c r="U526" s="40"/>
      <c r="V526" s="40"/>
      <c r="W526" s="40"/>
    </row>
    <row r="527" ht="12.75" customHeight="1">
      <c r="B527" s="24"/>
      <c r="C527" s="24"/>
      <c r="Q527" s="40"/>
      <c r="R527" s="40"/>
      <c r="S527" s="40"/>
      <c r="T527" s="40"/>
      <c r="U527" s="40"/>
      <c r="V527" s="40"/>
      <c r="W527" s="40"/>
    </row>
    <row r="528" ht="12.75" customHeight="1">
      <c r="B528" s="24"/>
      <c r="C528" s="24"/>
      <c r="Q528" s="40"/>
      <c r="R528" s="40"/>
      <c r="S528" s="40"/>
      <c r="T528" s="40"/>
      <c r="U528" s="40"/>
      <c r="V528" s="40"/>
      <c r="W528" s="40"/>
    </row>
    <row r="529" ht="12.75" customHeight="1">
      <c r="B529" s="24"/>
      <c r="C529" s="24"/>
      <c r="Q529" s="40"/>
      <c r="R529" s="40"/>
      <c r="S529" s="40"/>
      <c r="T529" s="40"/>
      <c r="U529" s="40"/>
      <c r="V529" s="40"/>
      <c r="W529" s="40"/>
    </row>
    <row r="530" ht="12.75" customHeight="1">
      <c r="B530" s="24"/>
      <c r="C530" s="24"/>
      <c r="Q530" s="40"/>
      <c r="R530" s="40"/>
      <c r="S530" s="40"/>
      <c r="T530" s="40"/>
      <c r="U530" s="40"/>
      <c r="V530" s="40"/>
      <c r="W530" s="40"/>
    </row>
    <row r="531" ht="12.75" customHeight="1">
      <c r="B531" s="24"/>
      <c r="C531" s="24"/>
      <c r="Q531" s="40"/>
      <c r="R531" s="40"/>
      <c r="S531" s="40"/>
      <c r="T531" s="40"/>
      <c r="U531" s="40"/>
      <c r="V531" s="40"/>
      <c r="W531" s="40"/>
    </row>
    <row r="532" ht="12.75" customHeight="1">
      <c r="B532" s="24"/>
      <c r="C532" s="24"/>
      <c r="Q532" s="40"/>
      <c r="R532" s="40"/>
      <c r="S532" s="40"/>
      <c r="T532" s="40"/>
      <c r="U532" s="40"/>
      <c r="V532" s="40"/>
      <c r="W532" s="40"/>
    </row>
    <row r="533" ht="12.75" customHeight="1">
      <c r="B533" s="24"/>
      <c r="C533" s="24"/>
      <c r="Q533" s="40"/>
      <c r="R533" s="40"/>
      <c r="S533" s="40"/>
      <c r="T533" s="40"/>
      <c r="U533" s="40"/>
      <c r="V533" s="40"/>
      <c r="W533" s="40"/>
    </row>
    <row r="534" ht="12.75" customHeight="1">
      <c r="B534" s="24"/>
      <c r="C534" s="24"/>
      <c r="Q534" s="40"/>
      <c r="R534" s="40"/>
      <c r="S534" s="40"/>
      <c r="T534" s="40"/>
      <c r="U534" s="40"/>
      <c r="V534" s="40"/>
      <c r="W534" s="40"/>
    </row>
    <row r="535" ht="12.75" customHeight="1">
      <c r="B535" s="24"/>
      <c r="C535" s="24"/>
      <c r="Q535" s="40"/>
      <c r="R535" s="40"/>
      <c r="S535" s="40"/>
      <c r="T535" s="40"/>
      <c r="U535" s="40"/>
      <c r="V535" s="40"/>
      <c r="W535" s="40"/>
    </row>
    <row r="536" ht="12.75" customHeight="1">
      <c r="B536" s="24"/>
      <c r="C536" s="24"/>
      <c r="Q536" s="40"/>
      <c r="R536" s="40"/>
      <c r="S536" s="40"/>
      <c r="T536" s="40"/>
      <c r="U536" s="40"/>
      <c r="V536" s="40"/>
      <c r="W536" s="40"/>
    </row>
    <row r="537" ht="12.75" customHeight="1">
      <c r="B537" s="24"/>
      <c r="C537" s="24"/>
      <c r="Q537" s="40"/>
      <c r="R537" s="40"/>
      <c r="S537" s="40"/>
      <c r="T537" s="40"/>
      <c r="U537" s="40"/>
      <c r="V537" s="40"/>
      <c r="W537" s="40"/>
    </row>
    <row r="538" ht="12.75" customHeight="1">
      <c r="B538" s="24"/>
      <c r="C538" s="24"/>
      <c r="Q538" s="40"/>
      <c r="R538" s="40"/>
      <c r="S538" s="40"/>
      <c r="T538" s="40"/>
      <c r="U538" s="40"/>
      <c r="V538" s="40"/>
      <c r="W538" s="40"/>
    </row>
    <row r="539" ht="12.75" customHeight="1">
      <c r="B539" s="24"/>
      <c r="C539" s="24"/>
      <c r="Q539" s="40"/>
      <c r="R539" s="40"/>
      <c r="S539" s="40"/>
      <c r="T539" s="40"/>
      <c r="U539" s="40"/>
      <c r="V539" s="40"/>
      <c r="W539" s="40"/>
    </row>
    <row r="540" ht="12.75" customHeight="1">
      <c r="B540" s="24"/>
      <c r="C540" s="24"/>
      <c r="Q540" s="40"/>
      <c r="R540" s="40"/>
      <c r="S540" s="40"/>
      <c r="T540" s="40"/>
      <c r="U540" s="40"/>
      <c r="V540" s="40"/>
      <c r="W540" s="40"/>
    </row>
    <row r="541" ht="12.75" customHeight="1">
      <c r="B541" s="24"/>
      <c r="C541" s="24"/>
      <c r="Q541" s="40"/>
      <c r="R541" s="40"/>
      <c r="S541" s="40"/>
      <c r="T541" s="40"/>
      <c r="U541" s="40"/>
      <c r="V541" s="40"/>
      <c r="W541" s="40"/>
    </row>
    <row r="542" ht="12.75" customHeight="1">
      <c r="B542" s="24"/>
      <c r="C542" s="24"/>
      <c r="Q542" s="40"/>
      <c r="R542" s="40"/>
      <c r="S542" s="40"/>
      <c r="T542" s="40"/>
      <c r="U542" s="40"/>
      <c r="V542" s="40"/>
      <c r="W542" s="40"/>
    </row>
    <row r="543" ht="12.75" customHeight="1">
      <c r="B543" s="24"/>
      <c r="C543" s="24"/>
      <c r="Q543" s="40"/>
      <c r="R543" s="40"/>
      <c r="S543" s="40"/>
      <c r="T543" s="40"/>
      <c r="U543" s="40"/>
      <c r="V543" s="40"/>
      <c r="W543" s="40"/>
    </row>
    <row r="544" ht="12.75" customHeight="1">
      <c r="B544" s="24"/>
      <c r="C544" s="24"/>
      <c r="Q544" s="40"/>
      <c r="R544" s="40"/>
      <c r="S544" s="40"/>
      <c r="T544" s="40"/>
      <c r="U544" s="40"/>
      <c r="V544" s="40"/>
      <c r="W544" s="40"/>
    </row>
    <row r="545" ht="12.75" customHeight="1">
      <c r="B545" s="24"/>
      <c r="C545" s="24"/>
      <c r="Q545" s="40"/>
      <c r="R545" s="40"/>
      <c r="S545" s="40"/>
      <c r="T545" s="40"/>
      <c r="U545" s="40"/>
      <c r="V545" s="40"/>
      <c r="W545" s="40"/>
    </row>
    <row r="546" ht="12.75" customHeight="1">
      <c r="B546" s="24"/>
      <c r="C546" s="24"/>
      <c r="Q546" s="40"/>
      <c r="R546" s="40"/>
      <c r="S546" s="40"/>
      <c r="T546" s="40"/>
      <c r="U546" s="40"/>
      <c r="V546" s="40"/>
      <c r="W546" s="40"/>
    </row>
    <row r="547" ht="12.75" customHeight="1">
      <c r="B547" s="24"/>
      <c r="C547" s="24"/>
      <c r="Q547" s="40"/>
      <c r="R547" s="40"/>
      <c r="S547" s="40"/>
      <c r="T547" s="40"/>
      <c r="U547" s="40"/>
      <c r="V547" s="40"/>
      <c r="W547" s="40"/>
    </row>
    <row r="548" ht="12.75" customHeight="1">
      <c r="B548" s="24"/>
      <c r="C548" s="24"/>
      <c r="Q548" s="40"/>
      <c r="R548" s="40"/>
      <c r="S548" s="40"/>
      <c r="T548" s="40"/>
      <c r="U548" s="40"/>
      <c r="V548" s="40"/>
      <c r="W548" s="40"/>
    </row>
    <row r="549" ht="12.75" customHeight="1">
      <c r="B549" s="24"/>
      <c r="C549" s="24"/>
      <c r="Q549" s="40"/>
      <c r="R549" s="40"/>
      <c r="S549" s="40"/>
      <c r="T549" s="40"/>
      <c r="U549" s="40"/>
      <c r="V549" s="40"/>
      <c r="W549" s="40"/>
    </row>
    <row r="550" ht="12.75" customHeight="1">
      <c r="B550" s="24"/>
      <c r="C550" s="24"/>
      <c r="Q550" s="40"/>
      <c r="R550" s="40"/>
      <c r="S550" s="40"/>
      <c r="T550" s="40"/>
      <c r="U550" s="40"/>
      <c r="V550" s="40"/>
      <c r="W550" s="40"/>
    </row>
    <row r="551" ht="12.75" customHeight="1">
      <c r="B551" s="24"/>
      <c r="C551" s="24"/>
      <c r="Q551" s="40"/>
      <c r="R551" s="40"/>
      <c r="S551" s="40"/>
      <c r="T551" s="40"/>
      <c r="U551" s="40"/>
      <c r="V551" s="40"/>
      <c r="W551" s="40"/>
    </row>
    <row r="552" ht="12.75" customHeight="1">
      <c r="B552" s="24"/>
      <c r="C552" s="24"/>
      <c r="Q552" s="40"/>
      <c r="R552" s="40"/>
      <c r="S552" s="40"/>
      <c r="T552" s="40"/>
      <c r="U552" s="40"/>
      <c r="V552" s="40"/>
      <c r="W552" s="40"/>
    </row>
    <row r="553" ht="12.75" customHeight="1">
      <c r="B553" s="24"/>
      <c r="C553" s="24"/>
      <c r="Q553" s="40"/>
      <c r="R553" s="40"/>
      <c r="S553" s="40"/>
      <c r="T553" s="40"/>
      <c r="U553" s="40"/>
      <c r="V553" s="40"/>
      <c r="W553" s="40"/>
    </row>
    <row r="554" ht="12.75" customHeight="1">
      <c r="B554" s="24"/>
      <c r="C554" s="24"/>
      <c r="Q554" s="40"/>
      <c r="R554" s="40"/>
      <c r="S554" s="40"/>
      <c r="T554" s="40"/>
      <c r="U554" s="40"/>
      <c r="V554" s="40"/>
      <c r="W554" s="40"/>
    </row>
    <row r="555" ht="12.75" customHeight="1">
      <c r="B555" s="24"/>
      <c r="C555" s="24"/>
      <c r="Q555" s="40"/>
      <c r="R555" s="40"/>
      <c r="S555" s="40"/>
      <c r="T555" s="40"/>
      <c r="U555" s="40"/>
      <c r="V555" s="40"/>
      <c r="W555" s="40"/>
    </row>
    <row r="556" ht="12.75" customHeight="1">
      <c r="B556" s="24"/>
      <c r="C556" s="24"/>
      <c r="Q556" s="40"/>
      <c r="R556" s="40"/>
      <c r="S556" s="40"/>
      <c r="T556" s="40"/>
      <c r="U556" s="40"/>
      <c r="V556" s="40"/>
      <c r="W556" s="40"/>
    </row>
    <row r="557" ht="12.75" customHeight="1">
      <c r="B557" s="24"/>
      <c r="C557" s="24"/>
      <c r="Q557" s="40"/>
      <c r="R557" s="40"/>
      <c r="S557" s="40"/>
      <c r="T557" s="40"/>
      <c r="U557" s="40"/>
      <c r="V557" s="40"/>
      <c r="W557" s="40"/>
    </row>
    <row r="558" ht="12.75" customHeight="1">
      <c r="B558" s="24"/>
      <c r="C558" s="24"/>
      <c r="Q558" s="40"/>
      <c r="R558" s="40"/>
      <c r="S558" s="40"/>
      <c r="T558" s="40"/>
      <c r="U558" s="40"/>
      <c r="V558" s="40"/>
      <c r="W558" s="40"/>
    </row>
    <row r="559" ht="12.75" customHeight="1">
      <c r="B559" s="24"/>
      <c r="C559" s="24"/>
      <c r="Q559" s="40"/>
      <c r="R559" s="40"/>
      <c r="S559" s="40"/>
      <c r="T559" s="40"/>
      <c r="U559" s="40"/>
      <c r="V559" s="40"/>
      <c r="W559" s="40"/>
    </row>
    <row r="560" ht="12.75" customHeight="1">
      <c r="B560" s="24"/>
      <c r="C560" s="24"/>
      <c r="Q560" s="40"/>
      <c r="R560" s="40"/>
      <c r="S560" s="40"/>
      <c r="T560" s="40"/>
      <c r="U560" s="40"/>
      <c r="V560" s="40"/>
      <c r="W560" s="40"/>
    </row>
    <row r="561" ht="12.75" customHeight="1">
      <c r="B561" s="24"/>
      <c r="C561" s="24"/>
      <c r="Q561" s="40"/>
      <c r="R561" s="40"/>
      <c r="S561" s="40"/>
      <c r="T561" s="40"/>
      <c r="U561" s="40"/>
      <c r="V561" s="40"/>
      <c r="W561" s="40"/>
    </row>
    <row r="562" ht="12.75" customHeight="1">
      <c r="B562" s="24"/>
      <c r="C562" s="24"/>
      <c r="Q562" s="40"/>
      <c r="R562" s="40"/>
      <c r="S562" s="40"/>
      <c r="T562" s="40"/>
      <c r="U562" s="40"/>
      <c r="V562" s="40"/>
      <c r="W562" s="40"/>
    </row>
    <row r="563" ht="12.75" customHeight="1">
      <c r="B563" s="24"/>
      <c r="C563" s="24"/>
      <c r="Q563" s="40"/>
      <c r="R563" s="40"/>
      <c r="S563" s="40"/>
      <c r="T563" s="40"/>
      <c r="U563" s="40"/>
      <c r="V563" s="40"/>
      <c r="W563" s="40"/>
    </row>
    <row r="564" ht="12.75" customHeight="1">
      <c r="B564" s="24"/>
      <c r="C564" s="24"/>
      <c r="Q564" s="40"/>
      <c r="R564" s="40"/>
      <c r="S564" s="40"/>
      <c r="T564" s="40"/>
      <c r="U564" s="40"/>
      <c r="V564" s="40"/>
      <c r="W564" s="40"/>
    </row>
    <row r="565" ht="12.75" customHeight="1">
      <c r="B565" s="24"/>
      <c r="C565" s="24"/>
      <c r="Q565" s="40"/>
      <c r="R565" s="40"/>
      <c r="S565" s="40"/>
      <c r="T565" s="40"/>
      <c r="U565" s="40"/>
      <c r="V565" s="40"/>
      <c r="W565" s="40"/>
    </row>
    <row r="566" ht="12.75" customHeight="1">
      <c r="B566" s="24"/>
      <c r="C566" s="24"/>
      <c r="Q566" s="40"/>
      <c r="R566" s="40"/>
      <c r="S566" s="40"/>
      <c r="T566" s="40"/>
      <c r="U566" s="40"/>
      <c r="V566" s="40"/>
      <c r="W566" s="40"/>
    </row>
    <row r="567" ht="12.75" customHeight="1">
      <c r="B567" s="24"/>
      <c r="C567" s="24"/>
      <c r="Q567" s="40"/>
      <c r="R567" s="40"/>
      <c r="S567" s="40"/>
      <c r="T567" s="40"/>
      <c r="U567" s="40"/>
      <c r="V567" s="40"/>
      <c r="W567" s="40"/>
    </row>
    <row r="568" ht="12.75" customHeight="1">
      <c r="B568" s="24"/>
      <c r="C568" s="24"/>
      <c r="Q568" s="40"/>
      <c r="R568" s="40"/>
      <c r="S568" s="40"/>
      <c r="T568" s="40"/>
      <c r="U568" s="40"/>
      <c r="V568" s="40"/>
      <c r="W568" s="40"/>
    </row>
    <row r="569" ht="12.75" customHeight="1">
      <c r="B569" s="24"/>
      <c r="C569" s="24"/>
      <c r="Q569" s="40"/>
      <c r="R569" s="40"/>
      <c r="S569" s="40"/>
      <c r="T569" s="40"/>
      <c r="U569" s="40"/>
      <c r="V569" s="40"/>
      <c r="W569" s="40"/>
    </row>
    <row r="570" ht="12.75" customHeight="1">
      <c r="B570" s="24"/>
      <c r="C570" s="24"/>
      <c r="Q570" s="40"/>
      <c r="R570" s="40"/>
      <c r="S570" s="40"/>
      <c r="T570" s="40"/>
      <c r="U570" s="40"/>
      <c r="V570" s="40"/>
      <c r="W570" s="40"/>
    </row>
    <row r="571" ht="12.75" customHeight="1">
      <c r="B571" s="24"/>
      <c r="C571" s="24"/>
      <c r="Q571" s="40"/>
      <c r="R571" s="40"/>
      <c r="S571" s="40"/>
      <c r="T571" s="40"/>
      <c r="U571" s="40"/>
      <c r="V571" s="40"/>
      <c r="W571" s="40"/>
    </row>
    <row r="572" ht="12.75" customHeight="1">
      <c r="B572" s="24"/>
      <c r="C572" s="24"/>
      <c r="Q572" s="40"/>
      <c r="R572" s="40"/>
      <c r="S572" s="40"/>
      <c r="T572" s="40"/>
      <c r="U572" s="40"/>
      <c r="V572" s="40"/>
      <c r="W572" s="40"/>
    </row>
    <row r="573" ht="12.75" customHeight="1">
      <c r="B573" s="24"/>
      <c r="C573" s="24"/>
      <c r="Q573" s="40"/>
      <c r="R573" s="40"/>
      <c r="S573" s="40"/>
      <c r="T573" s="40"/>
      <c r="U573" s="40"/>
      <c r="V573" s="40"/>
      <c r="W573" s="40"/>
    </row>
    <row r="574" ht="12.75" customHeight="1">
      <c r="B574" s="24"/>
      <c r="C574" s="24"/>
      <c r="Q574" s="40"/>
      <c r="R574" s="40"/>
      <c r="S574" s="40"/>
      <c r="T574" s="40"/>
      <c r="U574" s="40"/>
      <c r="V574" s="40"/>
      <c r="W574" s="40"/>
    </row>
    <row r="575" ht="12.75" customHeight="1">
      <c r="B575" s="24"/>
      <c r="C575" s="24"/>
      <c r="Q575" s="40"/>
      <c r="R575" s="40"/>
      <c r="S575" s="40"/>
      <c r="T575" s="40"/>
      <c r="U575" s="40"/>
      <c r="V575" s="40"/>
      <c r="W575" s="40"/>
    </row>
    <row r="576" ht="12.75" customHeight="1">
      <c r="B576" s="24"/>
      <c r="C576" s="24"/>
      <c r="Q576" s="40"/>
      <c r="R576" s="40"/>
      <c r="S576" s="40"/>
      <c r="T576" s="40"/>
      <c r="U576" s="40"/>
      <c r="V576" s="40"/>
      <c r="W576" s="40"/>
    </row>
    <row r="577" ht="12.75" customHeight="1">
      <c r="B577" s="24"/>
      <c r="C577" s="24"/>
      <c r="Q577" s="40"/>
      <c r="R577" s="40"/>
      <c r="S577" s="40"/>
      <c r="T577" s="40"/>
      <c r="U577" s="40"/>
      <c r="V577" s="40"/>
      <c r="W577" s="40"/>
    </row>
    <row r="578" ht="12.75" customHeight="1">
      <c r="B578" s="24"/>
      <c r="C578" s="24"/>
      <c r="Q578" s="40"/>
      <c r="R578" s="40"/>
      <c r="S578" s="40"/>
      <c r="T578" s="40"/>
      <c r="U578" s="40"/>
      <c r="V578" s="40"/>
      <c r="W578" s="40"/>
    </row>
    <row r="579" ht="12.75" customHeight="1">
      <c r="B579" s="24"/>
      <c r="C579" s="24"/>
      <c r="Q579" s="40"/>
      <c r="R579" s="40"/>
      <c r="S579" s="40"/>
      <c r="T579" s="40"/>
      <c r="U579" s="40"/>
      <c r="V579" s="40"/>
      <c r="W579" s="40"/>
    </row>
    <row r="580" ht="12.75" customHeight="1">
      <c r="B580" s="24"/>
      <c r="C580" s="24"/>
      <c r="Q580" s="40"/>
      <c r="R580" s="40"/>
      <c r="S580" s="40"/>
      <c r="T580" s="40"/>
      <c r="U580" s="40"/>
      <c r="V580" s="40"/>
      <c r="W580" s="40"/>
    </row>
    <row r="581" ht="12.75" customHeight="1">
      <c r="B581" s="24"/>
      <c r="C581" s="24"/>
      <c r="Q581" s="40"/>
      <c r="R581" s="40"/>
      <c r="S581" s="40"/>
      <c r="T581" s="40"/>
      <c r="U581" s="40"/>
      <c r="V581" s="40"/>
      <c r="W581" s="40"/>
    </row>
    <row r="582" ht="12.75" customHeight="1">
      <c r="B582" s="24"/>
      <c r="C582" s="24"/>
      <c r="Q582" s="40"/>
      <c r="R582" s="40"/>
      <c r="S582" s="40"/>
      <c r="T582" s="40"/>
      <c r="U582" s="40"/>
      <c r="V582" s="40"/>
      <c r="W582" s="40"/>
    </row>
    <row r="583" ht="12.75" customHeight="1">
      <c r="B583" s="24"/>
      <c r="C583" s="24"/>
      <c r="Q583" s="40"/>
      <c r="R583" s="40"/>
      <c r="S583" s="40"/>
      <c r="T583" s="40"/>
      <c r="U583" s="40"/>
      <c r="V583" s="40"/>
      <c r="W583" s="40"/>
    </row>
    <row r="584" ht="12.75" customHeight="1">
      <c r="B584" s="24"/>
      <c r="C584" s="24"/>
      <c r="Q584" s="40"/>
      <c r="R584" s="40"/>
      <c r="S584" s="40"/>
      <c r="T584" s="40"/>
      <c r="U584" s="40"/>
      <c r="V584" s="40"/>
      <c r="W584" s="40"/>
    </row>
    <row r="585" ht="12.75" customHeight="1">
      <c r="B585" s="24"/>
      <c r="C585" s="24"/>
      <c r="Q585" s="40"/>
      <c r="R585" s="40"/>
      <c r="S585" s="40"/>
      <c r="T585" s="40"/>
      <c r="U585" s="40"/>
      <c r="V585" s="40"/>
      <c r="W585" s="40"/>
    </row>
    <row r="586" ht="12.75" customHeight="1">
      <c r="B586" s="24"/>
      <c r="C586" s="24"/>
      <c r="Q586" s="40"/>
      <c r="R586" s="40"/>
      <c r="S586" s="40"/>
      <c r="T586" s="40"/>
      <c r="U586" s="40"/>
      <c r="V586" s="40"/>
      <c r="W586" s="40"/>
    </row>
    <row r="587" ht="12.75" customHeight="1">
      <c r="B587" s="24"/>
      <c r="C587" s="24"/>
      <c r="Q587" s="40"/>
      <c r="R587" s="40"/>
      <c r="S587" s="40"/>
      <c r="T587" s="40"/>
      <c r="U587" s="40"/>
      <c r="V587" s="40"/>
      <c r="W587" s="40"/>
    </row>
    <row r="588" ht="12.75" customHeight="1">
      <c r="B588" s="24"/>
      <c r="C588" s="24"/>
      <c r="Q588" s="40"/>
      <c r="R588" s="40"/>
      <c r="S588" s="40"/>
      <c r="T588" s="40"/>
      <c r="U588" s="40"/>
      <c r="V588" s="40"/>
      <c r="W588" s="40"/>
    </row>
    <row r="589" ht="12.75" customHeight="1">
      <c r="B589" s="24"/>
      <c r="C589" s="24"/>
      <c r="Q589" s="40"/>
      <c r="R589" s="40"/>
      <c r="S589" s="40"/>
      <c r="T589" s="40"/>
      <c r="U589" s="40"/>
      <c r="V589" s="40"/>
      <c r="W589" s="40"/>
    </row>
    <row r="590" ht="12.75" customHeight="1">
      <c r="B590" s="24"/>
      <c r="C590" s="24"/>
      <c r="Q590" s="40"/>
      <c r="R590" s="40"/>
      <c r="S590" s="40"/>
      <c r="T590" s="40"/>
      <c r="U590" s="40"/>
      <c r="V590" s="40"/>
      <c r="W590" s="40"/>
    </row>
    <row r="591" ht="12.75" customHeight="1">
      <c r="B591" s="24"/>
      <c r="C591" s="24"/>
      <c r="Q591" s="40"/>
      <c r="R591" s="40"/>
      <c r="S591" s="40"/>
      <c r="T591" s="40"/>
      <c r="U591" s="40"/>
      <c r="V591" s="40"/>
      <c r="W591" s="40"/>
    </row>
    <row r="592" ht="12.75" customHeight="1">
      <c r="B592" s="24"/>
      <c r="C592" s="24"/>
      <c r="Q592" s="40"/>
      <c r="R592" s="40"/>
      <c r="S592" s="40"/>
      <c r="T592" s="40"/>
      <c r="U592" s="40"/>
      <c r="V592" s="40"/>
      <c r="W592" s="40"/>
    </row>
    <row r="593" ht="12.75" customHeight="1">
      <c r="B593" s="24"/>
      <c r="C593" s="24"/>
      <c r="Q593" s="40"/>
      <c r="R593" s="40"/>
      <c r="S593" s="40"/>
      <c r="T593" s="40"/>
      <c r="U593" s="40"/>
      <c r="V593" s="40"/>
      <c r="W593" s="40"/>
    </row>
    <row r="594" ht="12.75" customHeight="1">
      <c r="B594" s="24"/>
      <c r="C594" s="24"/>
      <c r="Q594" s="40"/>
      <c r="R594" s="40"/>
      <c r="S594" s="40"/>
      <c r="T594" s="40"/>
      <c r="U594" s="40"/>
      <c r="V594" s="40"/>
      <c r="W594" s="40"/>
    </row>
    <row r="595" ht="12.75" customHeight="1">
      <c r="B595" s="24"/>
      <c r="C595" s="24"/>
      <c r="Q595" s="40"/>
      <c r="R595" s="40"/>
      <c r="S595" s="40"/>
      <c r="T595" s="40"/>
      <c r="U595" s="40"/>
      <c r="V595" s="40"/>
      <c r="W595" s="40"/>
    </row>
    <row r="596" ht="12.75" customHeight="1">
      <c r="B596" s="24"/>
      <c r="C596" s="24"/>
      <c r="Q596" s="40"/>
      <c r="R596" s="40"/>
      <c r="S596" s="40"/>
      <c r="T596" s="40"/>
      <c r="U596" s="40"/>
      <c r="V596" s="40"/>
      <c r="W596" s="40"/>
    </row>
    <row r="597" ht="12.75" customHeight="1">
      <c r="B597" s="24"/>
      <c r="C597" s="24"/>
      <c r="Q597" s="40"/>
      <c r="R597" s="40"/>
      <c r="S597" s="40"/>
      <c r="T597" s="40"/>
      <c r="U597" s="40"/>
      <c r="V597" s="40"/>
      <c r="W597" s="40"/>
    </row>
    <row r="598" ht="12.75" customHeight="1">
      <c r="B598" s="24"/>
      <c r="C598" s="24"/>
      <c r="Q598" s="40"/>
      <c r="R598" s="40"/>
      <c r="S598" s="40"/>
      <c r="T598" s="40"/>
      <c r="U598" s="40"/>
      <c r="V598" s="40"/>
      <c r="W598" s="40"/>
    </row>
    <row r="599" ht="12.75" customHeight="1">
      <c r="B599" s="24"/>
      <c r="C599" s="24"/>
      <c r="Q599" s="40"/>
      <c r="R599" s="40"/>
      <c r="S599" s="40"/>
      <c r="T599" s="40"/>
      <c r="U599" s="40"/>
      <c r="V599" s="40"/>
      <c r="W599" s="40"/>
    </row>
    <row r="600" ht="12.75" customHeight="1">
      <c r="B600" s="24"/>
      <c r="C600" s="24"/>
      <c r="Q600" s="40"/>
      <c r="R600" s="40"/>
      <c r="S600" s="40"/>
      <c r="T600" s="40"/>
      <c r="U600" s="40"/>
      <c r="V600" s="40"/>
      <c r="W600" s="40"/>
    </row>
    <row r="601" ht="12.75" customHeight="1">
      <c r="B601" s="24"/>
      <c r="C601" s="24"/>
      <c r="Q601" s="40"/>
      <c r="R601" s="40"/>
      <c r="S601" s="40"/>
      <c r="T601" s="40"/>
      <c r="U601" s="40"/>
      <c r="V601" s="40"/>
      <c r="W601" s="40"/>
    </row>
    <row r="602" ht="12.75" customHeight="1">
      <c r="B602" s="24"/>
      <c r="C602" s="24"/>
      <c r="Q602" s="40"/>
      <c r="R602" s="40"/>
      <c r="S602" s="40"/>
      <c r="T602" s="40"/>
      <c r="U602" s="40"/>
      <c r="V602" s="40"/>
      <c r="W602" s="40"/>
    </row>
    <row r="603" ht="12.75" customHeight="1">
      <c r="B603" s="24"/>
      <c r="C603" s="24"/>
      <c r="Q603" s="40"/>
      <c r="R603" s="40"/>
      <c r="S603" s="40"/>
      <c r="T603" s="40"/>
      <c r="U603" s="40"/>
      <c r="V603" s="40"/>
      <c r="W603" s="40"/>
    </row>
    <row r="604" ht="12.75" customHeight="1">
      <c r="B604" s="24"/>
      <c r="C604" s="24"/>
      <c r="Q604" s="40"/>
      <c r="R604" s="40"/>
      <c r="S604" s="40"/>
      <c r="T604" s="40"/>
      <c r="U604" s="40"/>
      <c r="V604" s="40"/>
      <c r="W604" s="40"/>
    </row>
    <row r="605" ht="12.75" customHeight="1">
      <c r="B605" s="24"/>
      <c r="C605" s="24"/>
      <c r="Q605" s="40"/>
      <c r="R605" s="40"/>
      <c r="S605" s="40"/>
      <c r="T605" s="40"/>
      <c r="U605" s="40"/>
      <c r="V605" s="40"/>
      <c r="W605" s="40"/>
    </row>
    <row r="606" ht="12.75" customHeight="1">
      <c r="B606" s="24"/>
      <c r="C606" s="24"/>
      <c r="Q606" s="40"/>
      <c r="R606" s="40"/>
      <c r="S606" s="40"/>
      <c r="T606" s="40"/>
      <c r="U606" s="40"/>
      <c r="V606" s="40"/>
      <c r="W606" s="40"/>
    </row>
    <row r="607" ht="12.75" customHeight="1">
      <c r="B607" s="24"/>
      <c r="C607" s="24"/>
      <c r="Q607" s="40"/>
      <c r="R607" s="40"/>
      <c r="S607" s="40"/>
      <c r="T607" s="40"/>
      <c r="U607" s="40"/>
      <c r="V607" s="40"/>
      <c r="W607" s="40"/>
    </row>
    <row r="608" ht="12.75" customHeight="1">
      <c r="B608" s="24"/>
      <c r="C608" s="24"/>
      <c r="Q608" s="40"/>
      <c r="R608" s="40"/>
      <c r="S608" s="40"/>
      <c r="T608" s="40"/>
      <c r="U608" s="40"/>
      <c r="V608" s="40"/>
      <c r="W608" s="40"/>
    </row>
    <row r="609" ht="12.75" customHeight="1">
      <c r="B609" s="24"/>
      <c r="C609" s="24"/>
      <c r="Q609" s="40"/>
      <c r="R609" s="40"/>
      <c r="S609" s="40"/>
      <c r="T609" s="40"/>
      <c r="U609" s="40"/>
      <c r="V609" s="40"/>
      <c r="W609" s="40"/>
    </row>
    <row r="610" ht="12.75" customHeight="1">
      <c r="B610" s="24"/>
      <c r="C610" s="24"/>
      <c r="Q610" s="40"/>
      <c r="R610" s="40"/>
      <c r="S610" s="40"/>
      <c r="T610" s="40"/>
      <c r="U610" s="40"/>
      <c r="V610" s="40"/>
      <c r="W610" s="40"/>
    </row>
    <row r="611" ht="12.75" customHeight="1">
      <c r="B611" s="24"/>
      <c r="C611" s="24"/>
      <c r="Q611" s="40"/>
      <c r="R611" s="40"/>
      <c r="S611" s="40"/>
      <c r="T611" s="40"/>
      <c r="U611" s="40"/>
      <c r="V611" s="40"/>
      <c r="W611" s="40"/>
    </row>
    <row r="612" ht="12.75" customHeight="1">
      <c r="B612" s="24"/>
      <c r="C612" s="24"/>
      <c r="Q612" s="40"/>
      <c r="R612" s="40"/>
      <c r="S612" s="40"/>
      <c r="T612" s="40"/>
      <c r="U612" s="40"/>
      <c r="V612" s="40"/>
      <c r="W612" s="40"/>
    </row>
    <row r="613" ht="12.75" customHeight="1">
      <c r="B613" s="24"/>
      <c r="C613" s="24"/>
      <c r="Q613" s="40"/>
      <c r="R613" s="40"/>
      <c r="S613" s="40"/>
      <c r="T613" s="40"/>
      <c r="U613" s="40"/>
      <c r="V613" s="40"/>
      <c r="W613" s="40"/>
    </row>
    <row r="614" ht="12.75" customHeight="1">
      <c r="B614" s="24"/>
      <c r="C614" s="24"/>
      <c r="Q614" s="40"/>
      <c r="R614" s="40"/>
      <c r="S614" s="40"/>
      <c r="T614" s="40"/>
      <c r="U614" s="40"/>
      <c r="V614" s="40"/>
      <c r="W614" s="40"/>
    </row>
    <row r="615" ht="12.75" customHeight="1">
      <c r="B615" s="24"/>
      <c r="C615" s="24"/>
      <c r="Q615" s="40"/>
      <c r="R615" s="40"/>
      <c r="S615" s="40"/>
      <c r="T615" s="40"/>
      <c r="U615" s="40"/>
      <c r="V615" s="40"/>
      <c r="W615" s="40"/>
    </row>
    <row r="616" ht="12.75" customHeight="1">
      <c r="B616" s="24"/>
      <c r="C616" s="24"/>
      <c r="Q616" s="40"/>
      <c r="R616" s="40"/>
      <c r="S616" s="40"/>
      <c r="T616" s="40"/>
      <c r="U616" s="40"/>
      <c r="V616" s="40"/>
      <c r="W616" s="40"/>
    </row>
    <row r="617" ht="12.75" customHeight="1">
      <c r="B617" s="24"/>
      <c r="C617" s="24"/>
      <c r="Q617" s="40"/>
      <c r="R617" s="40"/>
      <c r="S617" s="40"/>
      <c r="T617" s="40"/>
      <c r="U617" s="40"/>
      <c r="V617" s="40"/>
      <c r="W617" s="40"/>
    </row>
    <row r="618" ht="12.75" customHeight="1">
      <c r="B618" s="24"/>
      <c r="C618" s="24"/>
      <c r="Q618" s="40"/>
      <c r="R618" s="40"/>
      <c r="S618" s="40"/>
      <c r="T618" s="40"/>
      <c r="U618" s="40"/>
      <c r="V618" s="40"/>
      <c r="W618" s="40"/>
    </row>
    <row r="619" ht="12.75" customHeight="1">
      <c r="B619" s="24"/>
      <c r="C619" s="24"/>
      <c r="Q619" s="40"/>
      <c r="R619" s="40"/>
      <c r="S619" s="40"/>
      <c r="T619" s="40"/>
      <c r="U619" s="40"/>
      <c r="V619" s="40"/>
      <c r="W619" s="40"/>
    </row>
    <row r="620" ht="12.75" customHeight="1">
      <c r="B620" s="24"/>
      <c r="C620" s="24"/>
      <c r="Q620" s="40"/>
      <c r="R620" s="40"/>
      <c r="S620" s="40"/>
      <c r="T620" s="40"/>
      <c r="U620" s="40"/>
      <c r="V620" s="40"/>
      <c r="W620" s="40"/>
    </row>
    <row r="621" ht="12.75" customHeight="1">
      <c r="B621" s="24"/>
      <c r="C621" s="24"/>
      <c r="Q621" s="40"/>
      <c r="R621" s="40"/>
      <c r="S621" s="40"/>
      <c r="T621" s="40"/>
      <c r="U621" s="40"/>
      <c r="V621" s="40"/>
      <c r="W621" s="40"/>
    </row>
    <row r="622" ht="12.75" customHeight="1">
      <c r="B622" s="24"/>
      <c r="C622" s="24"/>
      <c r="Q622" s="40"/>
      <c r="R622" s="40"/>
      <c r="S622" s="40"/>
      <c r="T622" s="40"/>
      <c r="U622" s="40"/>
      <c r="V622" s="40"/>
      <c r="W622" s="40"/>
    </row>
    <row r="623" ht="12.75" customHeight="1">
      <c r="B623" s="24"/>
      <c r="C623" s="24"/>
      <c r="Q623" s="40"/>
      <c r="R623" s="40"/>
      <c r="S623" s="40"/>
      <c r="T623" s="40"/>
      <c r="U623" s="40"/>
      <c r="V623" s="40"/>
      <c r="W623" s="40"/>
    </row>
    <row r="624" ht="12.75" customHeight="1">
      <c r="B624" s="24"/>
      <c r="C624" s="24"/>
      <c r="Q624" s="40"/>
      <c r="R624" s="40"/>
      <c r="S624" s="40"/>
      <c r="T624" s="40"/>
      <c r="U624" s="40"/>
      <c r="V624" s="40"/>
      <c r="W624" s="40"/>
    </row>
    <row r="625" ht="12.75" customHeight="1">
      <c r="B625" s="24"/>
      <c r="C625" s="24"/>
      <c r="Q625" s="40"/>
      <c r="R625" s="40"/>
      <c r="S625" s="40"/>
      <c r="T625" s="40"/>
      <c r="U625" s="40"/>
      <c r="V625" s="40"/>
      <c r="W625" s="40"/>
    </row>
    <row r="626" ht="12.75" customHeight="1">
      <c r="B626" s="24"/>
      <c r="C626" s="24"/>
      <c r="Q626" s="40"/>
      <c r="R626" s="40"/>
      <c r="S626" s="40"/>
      <c r="T626" s="40"/>
      <c r="U626" s="40"/>
      <c r="V626" s="40"/>
      <c r="W626" s="40"/>
    </row>
    <row r="627" ht="12.75" customHeight="1">
      <c r="B627" s="24"/>
      <c r="C627" s="24"/>
      <c r="Q627" s="40"/>
      <c r="R627" s="40"/>
      <c r="S627" s="40"/>
      <c r="T627" s="40"/>
      <c r="U627" s="40"/>
      <c r="V627" s="40"/>
      <c r="W627" s="40"/>
    </row>
    <row r="628" ht="12.75" customHeight="1">
      <c r="B628" s="24"/>
      <c r="C628" s="24"/>
      <c r="Q628" s="40"/>
      <c r="R628" s="40"/>
      <c r="S628" s="40"/>
      <c r="T628" s="40"/>
      <c r="U628" s="40"/>
      <c r="V628" s="40"/>
      <c r="W628" s="40"/>
    </row>
    <row r="629" ht="12.75" customHeight="1">
      <c r="B629" s="24"/>
      <c r="C629" s="24"/>
      <c r="Q629" s="40"/>
      <c r="R629" s="40"/>
      <c r="S629" s="40"/>
      <c r="T629" s="40"/>
      <c r="U629" s="40"/>
      <c r="V629" s="40"/>
      <c r="W629" s="40"/>
    </row>
    <row r="630" ht="12.75" customHeight="1">
      <c r="B630" s="24"/>
      <c r="C630" s="24"/>
      <c r="Q630" s="40"/>
      <c r="R630" s="40"/>
      <c r="S630" s="40"/>
      <c r="T630" s="40"/>
      <c r="U630" s="40"/>
      <c r="V630" s="40"/>
      <c r="W630" s="40"/>
    </row>
    <row r="631" ht="12.75" customHeight="1">
      <c r="B631" s="24"/>
      <c r="C631" s="24"/>
      <c r="Q631" s="40"/>
      <c r="R631" s="40"/>
      <c r="S631" s="40"/>
      <c r="T631" s="40"/>
      <c r="U631" s="40"/>
      <c r="V631" s="40"/>
      <c r="W631" s="40"/>
    </row>
    <row r="632" ht="12.75" customHeight="1">
      <c r="B632" s="24"/>
      <c r="C632" s="24"/>
      <c r="Q632" s="40"/>
      <c r="R632" s="40"/>
      <c r="S632" s="40"/>
      <c r="T632" s="40"/>
      <c r="U632" s="40"/>
      <c r="V632" s="40"/>
      <c r="W632" s="40"/>
    </row>
    <row r="633" ht="12.75" customHeight="1">
      <c r="B633" s="24"/>
      <c r="C633" s="24"/>
      <c r="Q633" s="40"/>
      <c r="R633" s="40"/>
      <c r="S633" s="40"/>
      <c r="T633" s="40"/>
      <c r="U633" s="40"/>
      <c r="V633" s="40"/>
      <c r="W633" s="40"/>
    </row>
    <row r="634" ht="12.75" customHeight="1">
      <c r="B634" s="24"/>
      <c r="C634" s="24"/>
      <c r="Q634" s="40"/>
      <c r="R634" s="40"/>
      <c r="S634" s="40"/>
      <c r="T634" s="40"/>
      <c r="U634" s="40"/>
      <c r="V634" s="40"/>
      <c r="W634" s="40"/>
    </row>
    <row r="635" ht="12.75" customHeight="1">
      <c r="B635" s="24"/>
      <c r="C635" s="24"/>
      <c r="Q635" s="40"/>
      <c r="R635" s="40"/>
      <c r="S635" s="40"/>
      <c r="T635" s="40"/>
      <c r="U635" s="40"/>
      <c r="V635" s="40"/>
      <c r="W635" s="40"/>
    </row>
    <row r="636" ht="12.75" customHeight="1">
      <c r="B636" s="24"/>
      <c r="C636" s="24"/>
      <c r="Q636" s="40"/>
      <c r="R636" s="40"/>
      <c r="S636" s="40"/>
      <c r="T636" s="40"/>
      <c r="U636" s="40"/>
      <c r="V636" s="40"/>
      <c r="W636" s="40"/>
    </row>
    <row r="637" ht="12.75" customHeight="1">
      <c r="B637" s="24"/>
      <c r="C637" s="24"/>
      <c r="Q637" s="40"/>
      <c r="R637" s="40"/>
      <c r="S637" s="40"/>
      <c r="T637" s="40"/>
      <c r="U637" s="40"/>
      <c r="V637" s="40"/>
      <c r="W637" s="40"/>
    </row>
    <row r="638" ht="12.75" customHeight="1">
      <c r="B638" s="24"/>
      <c r="C638" s="24"/>
      <c r="Q638" s="40"/>
      <c r="R638" s="40"/>
      <c r="S638" s="40"/>
      <c r="T638" s="40"/>
      <c r="U638" s="40"/>
      <c r="V638" s="40"/>
      <c r="W638" s="40"/>
    </row>
    <row r="639" ht="12.75" customHeight="1">
      <c r="B639" s="24"/>
      <c r="C639" s="24"/>
      <c r="Q639" s="40"/>
      <c r="R639" s="40"/>
      <c r="S639" s="40"/>
      <c r="T639" s="40"/>
      <c r="U639" s="40"/>
      <c r="V639" s="40"/>
      <c r="W639" s="40"/>
    </row>
    <row r="640" ht="12.75" customHeight="1">
      <c r="B640" s="24"/>
      <c r="C640" s="24"/>
      <c r="Q640" s="40"/>
      <c r="R640" s="40"/>
      <c r="S640" s="40"/>
      <c r="T640" s="40"/>
      <c r="U640" s="40"/>
      <c r="V640" s="40"/>
      <c r="W640" s="40"/>
    </row>
    <row r="641" ht="12.75" customHeight="1">
      <c r="B641" s="24"/>
      <c r="C641" s="24"/>
      <c r="Q641" s="40"/>
      <c r="R641" s="40"/>
      <c r="S641" s="40"/>
      <c r="T641" s="40"/>
      <c r="U641" s="40"/>
      <c r="V641" s="40"/>
      <c r="W641" s="40"/>
    </row>
    <row r="642" ht="12.75" customHeight="1">
      <c r="B642" s="24"/>
      <c r="C642" s="24"/>
      <c r="Q642" s="40"/>
      <c r="R642" s="40"/>
      <c r="S642" s="40"/>
      <c r="T642" s="40"/>
      <c r="U642" s="40"/>
      <c r="V642" s="40"/>
      <c r="W642" s="40"/>
    </row>
    <row r="643" ht="12.75" customHeight="1">
      <c r="B643" s="24"/>
      <c r="C643" s="24"/>
      <c r="Q643" s="40"/>
      <c r="R643" s="40"/>
      <c r="S643" s="40"/>
      <c r="T643" s="40"/>
      <c r="U643" s="40"/>
      <c r="V643" s="40"/>
      <c r="W643" s="40"/>
    </row>
    <row r="644" ht="12.75" customHeight="1">
      <c r="B644" s="24"/>
      <c r="C644" s="24"/>
      <c r="Q644" s="40"/>
      <c r="R644" s="40"/>
      <c r="S644" s="40"/>
      <c r="T644" s="40"/>
      <c r="U644" s="40"/>
      <c r="V644" s="40"/>
      <c r="W644" s="40"/>
    </row>
    <row r="645" ht="12.75" customHeight="1">
      <c r="B645" s="24"/>
      <c r="C645" s="24"/>
      <c r="Q645" s="40"/>
      <c r="R645" s="40"/>
      <c r="S645" s="40"/>
      <c r="T645" s="40"/>
      <c r="U645" s="40"/>
      <c r="V645" s="40"/>
      <c r="W645" s="40"/>
    </row>
    <row r="646" ht="12.75" customHeight="1">
      <c r="B646" s="24"/>
      <c r="C646" s="24"/>
      <c r="Q646" s="40"/>
      <c r="R646" s="40"/>
      <c r="S646" s="40"/>
      <c r="T646" s="40"/>
      <c r="U646" s="40"/>
      <c r="V646" s="40"/>
      <c r="W646" s="40"/>
    </row>
    <row r="647" ht="12.75" customHeight="1">
      <c r="B647" s="24"/>
      <c r="C647" s="24"/>
      <c r="Q647" s="40"/>
      <c r="R647" s="40"/>
      <c r="S647" s="40"/>
      <c r="T647" s="40"/>
      <c r="U647" s="40"/>
      <c r="V647" s="40"/>
      <c r="W647" s="40"/>
    </row>
    <row r="648" ht="12.75" customHeight="1">
      <c r="B648" s="24"/>
      <c r="C648" s="24"/>
      <c r="Q648" s="40"/>
      <c r="R648" s="40"/>
      <c r="S648" s="40"/>
      <c r="T648" s="40"/>
      <c r="U648" s="40"/>
      <c r="V648" s="40"/>
      <c r="W648" s="40"/>
    </row>
    <row r="649" ht="12.75" customHeight="1">
      <c r="B649" s="24"/>
      <c r="C649" s="24"/>
      <c r="Q649" s="40"/>
      <c r="R649" s="40"/>
      <c r="S649" s="40"/>
      <c r="T649" s="40"/>
      <c r="U649" s="40"/>
      <c r="V649" s="40"/>
      <c r="W649" s="40"/>
    </row>
    <row r="650" ht="12.75" customHeight="1">
      <c r="B650" s="24"/>
      <c r="C650" s="24"/>
      <c r="Q650" s="40"/>
      <c r="R650" s="40"/>
      <c r="S650" s="40"/>
      <c r="T650" s="40"/>
      <c r="U650" s="40"/>
      <c r="V650" s="40"/>
      <c r="W650" s="40"/>
    </row>
    <row r="651" ht="12.75" customHeight="1">
      <c r="B651" s="24"/>
      <c r="C651" s="24"/>
      <c r="Q651" s="40"/>
      <c r="R651" s="40"/>
      <c r="S651" s="40"/>
      <c r="T651" s="40"/>
      <c r="U651" s="40"/>
      <c r="V651" s="40"/>
      <c r="W651" s="40"/>
    </row>
    <row r="652" ht="12.75" customHeight="1">
      <c r="B652" s="24"/>
      <c r="C652" s="24"/>
      <c r="Q652" s="40"/>
      <c r="R652" s="40"/>
      <c r="S652" s="40"/>
      <c r="T652" s="40"/>
      <c r="U652" s="40"/>
      <c r="V652" s="40"/>
      <c r="W652" s="40"/>
    </row>
    <row r="653" ht="12.75" customHeight="1">
      <c r="B653" s="24"/>
      <c r="C653" s="24"/>
      <c r="Q653" s="40"/>
      <c r="R653" s="40"/>
      <c r="S653" s="40"/>
      <c r="T653" s="40"/>
      <c r="U653" s="40"/>
      <c r="V653" s="40"/>
      <c r="W653" s="40"/>
    </row>
    <row r="654" ht="12.75" customHeight="1">
      <c r="B654" s="24"/>
      <c r="C654" s="24"/>
      <c r="Q654" s="40"/>
      <c r="R654" s="40"/>
      <c r="S654" s="40"/>
      <c r="T654" s="40"/>
      <c r="U654" s="40"/>
      <c r="V654" s="40"/>
      <c r="W654" s="40"/>
    </row>
    <row r="655" ht="12.75" customHeight="1">
      <c r="B655" s="24"/>
      <c r="C655" s="24"/>
      <c r="Q655" s="40"/>
      <c r="R655" s="40"/>
      <c r="S655" s="40"/>
      <c r="T655" s="40"/>
      <c r="U655" s="40"/>
      <c r="V655" s="40"/>
      <c r="W655" s="40"/>
    </row>
    <row r="656" ht="12.75" customHeight="1">
      <c r="B656" s="24"/>
      <c r="C656" s="24"/>
      <c r="Q656" s="40"/>
      <c r="R656" s="40"/>
      <c r="S656" s="40"/>
      <c r="T656" s="40"/>
      <c r="U656" s="40"/>
      <c r="V656" s="40"/>
      <c r="W656" s="40"/>
    </row>
    <row r="657" ht="12.75" customHeight="1">
      <c r="B657" s="24"/>
      <c r="C657" s="24"/>
      <c r="Q657" s="40"/>
      <c r="R657" s="40"/>
      <c r="S657" s="40"/>
      <c r="T657" s="40"/>
      <c r="U657" s="40"/>
      <c r="V657" s="40"/>
      <c r="W657" s="40"/>
    </row>
    <row r="658" ht="12.75" customHeight="1">
      <c r="B658" s="24"/>
      <c r="C658" s="24"/>
      <c r="Q658" s="40"/>
      <c r="R658" s="40"/>
      <c r="S658" s="40"/>
      <c r="T658" s="40"/>
      <c r="U658" s="40"/>
      <c r="V658" s="40"/>
      <c r="W658" s="40"/>
    </row>
    <row r="659" ht="12.75" customHeight="1">
      <c r="B659" s="24"/>
      <c r="C659" s="24"/>
      <c r="Q659" s="40"/>
      <c r="R659" s="40"/>
      <c r="S659" s="40"/>
      <c r="T659" s="40"/>
      <c r="U659" s="40"/>
      <c r="V659" s="40"/>
      <c r="W659" s="40"/>
    </row>
    <row r="660" ht="12.75" customHeight="1">
      <c r="B660" s="24"/>
      <c r="C660" s="24"/>
      <c r="Q660" s="40"/>
      <c r="R660" s="40"/>
      <c r="S660" s="40"/>
      <c r="T660" s="40"/>
      <c r="U660" s="40"/>
      <c r="V660" s="40"/>
      <c r="W660" s="40"/>
    </row>
    <row r="661" ht="12.75" customHeight="1">
      <c r="B661" s="24"/>
      <c r="C661" s="24"/>
      <c r="Q661" s="40"/>
      <c r="R661" s="40"/>
      <c r="S661" s="40"/>
      <c r="T661" s="40"/>
      <c r="U661" s="40"/>
      <c r="V661" s="40"/>
      <c r="W661" s="40"/>
    </row>
    <row r="662" ht="12.75" customHeight="1">
      <c r="B662" s="24"/>
      <c r="C662" s="24"/>
      <c r="Q662" s="40"/>
      <c r="R662" s="40"/>
      <c r="S662" s="40"/>
      <c r="T662" s="40"/>
      <c r="U662" s="40"/>
      <c r="V662" s="40"/>
      <c r="W662" s="40"/>
    </row>
    <row r="663" ht="12.75" customHeight="1">
      <c r="B663" s="24"/>
      <c r="C663" s="24"/>
      <c r="Q663" s="40"/>
      <c r="R663" s="40"/>
      <c r="S663" s="40"/>
      <c r="T663" s="40"/>
      <c r="U663" s="40"/>
      <c r="V663" s="40"/>
      <c r="W663" s="40"/>
    </row>
    <row r="664" ht="12.75" customHeight="1">
      <c r="B664" s="24"/>
      <c r="C664" s="24"/>
      <c r="Q664" s="40"/>
      <c r="R664" s="40"/>
      <c r="S664" s="40"/>
      <c r="T664" s="40"/>
      <c r="U664" s="40"/>
      <c r="V664" s="40"/>
      <c r="W664" s="40"/>
    </row>
    <row r="665" ht="12.75" customHeight="1">
      <c r="B665" s="24"/>
      <c r="C665" s="24"/>
      <c r="Q665" s="40"/>
      <c r="R665" s="40"/>
      <c r="S665" s="40"/>
      <c r="T665" s="40"/>
      <c r="U665" s="40"/>
      <c r="V665" s="40"/>
      <c r="W665" s="40"/>
    </row>
    <row r="666" ht="12.75" customHeight="1">
      <c r="B666" s="24"/>
      <c r="C666" s="24"/>
      <c r="Q666" s="40"/>
      <c r="R666" s="40"/>
      <c r="S666" s="40"/>
      <c r="T666" s="40"/>
      <c r="U666" s="40"/>
      <c r="V666" s="40"/>
      <c r="W666" s="40"/>
    </row>
    <row r="667" ht="12.75" customHeight="1">
      <c r="B667" s="24"/>
      <c r="C667" s="24"/>
      <c r="Q667" s="40"/>
      <c r="R667" s="40"/>
      <c r="S667" s="40"/>
      <c r="T667" s="40"/>
      <c r="U667" s="40"/>
      <c r="V667" s="40"/>
      <c r="W667" s="40"/>
    </row>
    <row r="668" ht="12.75" customHeight="1">
      <c r="B668" s="24"/>
      <c r="C668" s="24"/>
      <c r="Q668" s="40"/>
      <c r="R668" s="40"/>
      <c r="S668" s="40"/>
      <c r="T668" s="40"/>
      <c r="U668" s="40"/>
      <c r="V668" s="40"/>
      <c r="W668" s="40"/>
    </row>
    <row r="669" ht="12.75" customHeight="1">
      <c r="B669" s="24"/>
      <c r="C669" s="24"/>
      <c r="Q669" s="40"/>
      <c r="R669" s="40"/>
      <c r="S669" s="40"/>
      <c r="T669" s="40"/>
      <c r="U669" s="40"/>
      <c r="V669" s="40"/>
      <c r="W669" s="40"/>
    </row>
    <row r="670" ht="12.75" customHeight="1">
      <c r="B670" s="24"/>
      <c r="C670" s="24"/>
      <c r="Q670" s="40"/>
      <c r="R670" s="40"/>
      <c r="S670" s="40"/>
      <c r="T670" s="40"/>
      <c r="U670" s="40"/>
      <c r="V670" s="40"/>
      <c r="W670" s="40"/>
    </row>
    <row r="671" ht="12.75" customHeight="1">
      <c r="B671" s="24"/>
      <c r="C671" s="24"/>
      <c r="Q671" s="40"/>
      <c r="R671" s="40"/>
      <c r="S671" s="40"/>
      <c r="T671" s="40"/>
      <c r="U671" s="40"/>
      <c r="V671" s="40"/>
      <c r="W671" s="40"/>
    </row>
    <row r="672" ht="12.75" customHeight="1">
      <c r="B672" s="24"/>
      <c r="C672" s="24"/>
      <c r="Q672" s="40"/>
      <c r="R672" s="40"/>
      <c r="S672" s="40"/>
      <c r="T672" s="40"/>
      <c r="U672" s="40"/>
      <c r="V672" s="40"/>
      <c r="W672" s="40"/>
    </row>
    <row r="673" ht="12.75" customHeight="1">
      <c r="B673" s="24"/>
      <c r="C673" s="24"/>
      <c r="Q673" s="40"/>
      <c r="R673" s="40"/>
      <c r="S673" s="40"/>
      <c r="T673" s="40"/>
      <c r="U673" s="40"/>
      <c r="V673" s="40"/>
      <c r="W673" s="40"/>
    </row>
    <row r="674" ht="12.75" customHeight="1">
      <c r="B674" s="24"/>
      <c r="C674" s="24"/>
      <c r="Q674" s="40"/>
      <c r="R674" s="40"/>
      <c r="S674" s="40"/>
      <c r="T674" s="40"/>
      <c r="U674" s="40"/>
      <c r="V674" s="40"/>
      <c r="W674" s="40"/>
    </row>
    <row r="675" ht="12.75" customHeight="1">
      <c r="B675" s="24"/>
      <c r="C675" s="24"/>
      <c r="Q675" s="40"/>
      <c r="R675" s="40"/>
      <c r="S675" s="40"/>
      <c r="T675" s="40"/>
      <c r="U675" s="40"/>
      <c r="V675" s="40"/>
      <c r="W675" s="40"/>
    </row>
    <row r="676" ht="12.75" customHeight="1">
      <c r="B676" s="24"/>
      <c r="C676" s="24"/>
      <c r="Q676" s="40"/>
      <c r="R676" s="40"/>
      <c r="S676" s="40"/>
      <c r="T676" s="40"/>
      <c r="U676" s="40"/>
      <c r="V676" s="40"/>
      <c r="W676" s="40"/>
    </row>
    <row r="677" ht="12.75" customHeight="1">
      <c r="B677" s="24"/>
      <c r="C677" s="24"/>
      <c r="Q677" s="40"/>
      <c r="R677" s="40"/>
      <c r="S677" s="40"/>
      <c r="T677" s="40"/>
      <c r="U677" s="40"/>
      <c r="V677" s="40"/>
      <c r="W677" s="40"/>
    </row>
    <row r="678" ht="12.75" customHeight="1">
      <c r="B678" s="24"/>
      <c r="C678" s="24"/>
      <c r="Q678" s="40"/>
      <c r="R678" s="40"/>
      <c r="S678" s="40"/>
      <c r="T678" s="40"/>
      <c r="U678" s="40"/>
      <c r="V678" s="40"/>
      <c r="W678" s="40"/>
    </row>
    <row r="679" ht="12.75" customHeight="1">
      <c r="B679" s="24"/>
      <c r="C679" s="24"/>
      <c r="Q679" s="40"/>
      <c r="R679" s="40"/>
      <c r="S679" s="40"/>
      <c r="T679" s="40"/>
      <c r="U679" s="40"/>
      <c r="V679" s="40"/>
      <c r="W679" s="40"/>
    </row>
    <row r="680" ht="12.75" customHeight="1">
      <c r="B680" s="24"/>
      <c r="C680" s="24"/>
      <c r="Q680" s="40"/>
      <c r="R680" s="40"/>
      <c r="S680" s="40"/>
      <c r="T680" s="40"/>
      <c r="U680" s="40"/>
      <c r="V680" s="40"/>
      <c r="W680" s="40"/>
    </row>
    <row r="681" ht="12.75" customHeight="1">
      <c r="B681" s="24"/>
      <c r="C681" s="24"/>
      <c r="Q681" s="40"/>
      <c r="R681" s="40"/>
      <c r="S681" s="40"/>
      <c r="T681" s="40"/>
      <c r="U681" s="40"/>
      <c r="V681" s="40"/>
      <c r="W681" s="40"/>
    </row>
    <row r="682" ht="12.75" customHeight="1">
      <c r="B682" s="24"/>
      <c r="C682" s="24"/>
      <c r="Q682" s="40"/>
      <c r="R682" s="40"/>
      <c r="S682" s="40"/>
      <c r="T682" s="40"/>
      <c r="U682" s="40"/>
      <c r="V682" s="40"/>
      <c r="W682" s="40"/>
    </row>
    <row r="683" ht="12.75" customHeight="1">
      <c r="B683" s="24"/>
      <c r="C683" s="24"/>
      <c r="Q683" s="40"/>
      <c r="R683" s="40"/>
      <c r="S683" s="40"/>
      <c r="T683" s="40"/>
      <c r="U683" s="40"/>
      <c r="V683" s="40"/>
      <c r="W683" s="40"/>
    </row>
    <row r="684" ht="12.75" customHeight="1">
      <c r="B684" s="24"/>
      <c r="C684" s="24"/>
      <c r="Q684" s="40"/>
      <c r="R684" s="40"/>
      <c r="S684" s="40"/>
      <c r="T684" s="40"/>
      <c r="U684" s="40"/>
      <c r="V684" s="40"/>
      <c r="W684" s="40"/>
    </row>
    <row r="685" ht="12.75" customHeight="1">
      <c r="B685" s="24"/>
      <c r="C685" s="24"/>
      <c r="Q685" s="40"/>
      <c r="R685" s="40"/>
      <c r="S685" s="40"/>
      <c r="T685" s="40"/>
      <c r="U685" s="40"/>
      <c r="V685" s="40"/>
      <c r="W685" s="40"/>
    </row>
    <row r="686" ht="12.75" customHeight="1">
      <c r="B686" s="24"/>
      <c r="C686" s="24"/>
      <c r="Q686" s="40"/>
      <c r="R686" s="40"/>
      <c r="S686" s="40"/>
      <c r="T686" s="40"/>
      <c r="U686" s="40"/>
      <c r="V686" s="40"/>
      <c r="W686" s="40"/>
    </row>
    <row r="687" ht="12.75" customHeight="1">
      <c r="B687" s="24"/>
      <c r="C687" s="24"/>
      <c r="Q687" s="40"/>
      <c r="R687" s="40"/>
      <c r="S687" s="40"/>
      <c r="T687" s="40"/>
      <c r="U687" s="40"/>
      <c r="V687" s="40"/>
      <c r="W687" s="40"/>
    </row>
    <row r="688" ht="12.75" customHeight="1">
      <c r="B688" s="24"/>
      <c r="C688" s="24"/>
      <c r="Q688" s="40"/>
      <c r="R688" s="40"/>
      <c r="S688" s="40"/>
      <c r="T688" s="40"/>
      <c r="U688" s="40"/>
      <c r="V688" s="40"/>
      <c r="W688" s="40"/>
    </row>
    <row r="689" ht="12.75" customHeight="1">
      <c r="B689" s="24"/>
      <c r="C689" s="24"/>
      <c r="Q689" s="40"/>
      <c r="R689" s="40"/>
      <c r="S689" s="40"/>
      <c r="T689" s="40"/>
      <c r="U689" s="40"/>
      <c r="V689" s="40"/>
      <c r="W689" s="40"/>
    </row>
    <row r="690" ht="12.75" customHeight="1">
      <c r="B690" s="24"/>
      <c r="C690" s="24"/>
      <c r="Q690" s="40"/>
      <c r="R690" s="40"/>
      <c r="S690" s="40"/>
      <c r="T690" s="40"/>
      <c r="U690" s="40"/>
      <c r="V690" s="40"/>
      <c r="W690" s="40"/>
    </row>
    <row r="691" ht="12.75" customHeight="1">
      <c r="B691" s="24"/>
      <c r="C691" s="24"/>
      <c r="Q691" s="40"/>
      <c r="R691" s="40"/>
      <c r="S691" s="40"/>
      <c r="T691" s="40"/>
      <c r="U691" s="40"/>
      <c r="V691" s="40"/>
      <c r="W691" s="40"/>
    </row>
    <row r="692" ht="12.75" customHeight="1">
      <c r="B692" s="24"/>
      <c r="C692" s="24"/>
      <c r="Q692" s="40"/>
      <c r="R692" s="40"/>
      <c r="S692" s="40"/>
      <c r="T692" s="40"/>
      <c r="U692" s="40"/>
      <c r="V692" s="40"/>
      <c r="W692" s="40"/>
    </row>
    <row r="693" ht="12.75" customHeight="1">
      <c r="B693" s="24"/>
      <c r="C693" s="24"/>
      <c r="Q693" s="40"/>
      <c r="R693" s="40"/>
      <c r="S693" s="40"/>
      <c r="T693" s="40"/>
      <c r="U693" s="40"/>
      <c r="V693" s="40"/>
      <c r="W693" s="40"/>
    </row>
    <row r="694" ht="12.75" customHeight="1">
      <c r="B694" s="24"/>
      <c r="C694" s="24"/>
      <c r="Q694" s="40"/>
      <c r="R694" s="40"/>
      <c r="S694" s="40"/>
      <c r="T694" s="40"/>
      <c r="U694" s="40"/>
      <c r="V694" s="40"/>
      <c r="W694" s="40"/>
    </row>
    <row r="695" ht="12.75" customHeight="1">
      <c r="B695" s="24"/>
      <c r="C695" s="24"/>
      <c r="Q695" s="40"/>
      <c r="R695" s="40"/>
      <c r="S695" s="40"/>
      <c r="T695" s="40"/>
      <c r="U695" s="40"/>
      <c r="V695" s="40"/>
      <c r="W695" s="40"/>
    </row>
    <row r="696" ht="12.75" customHeight="1">
      <c r="B696" s="24"/>
      <c r="C696" s="24"/>
      <c r="Q696" s="40"/>
      <c r="R696" s="40"/>
      <c r="S696" s="40"/>
      <c r="T696" s="40"/>
      <c r="U696" s="40"/>
      <c r="V696" s="40"/>
      <c r="W696" s="40"/>
    </row>
    <row r="697" ht="12.75" customHeight="1">
      <c r="B697" s="24"/>
      <c r="C697" s="24"/>
      <c r="Q697" s="40"/>
      <c r="R697" s="40"/>
      <c r="S697" s="40"/>
      <c r="T697" s="40"/>
      <c r="U697" s="40"/>
      <c r="V697" s="40"/>
      <c r="W697" s="40"/>
    </row>
    <row r="698" ht="12.75" customHeight="1">
      <c r="B698" s="24"/>
      <c r="C698" s="24"/>
      <c r="Q698" s="40"/>
      <c r="R698" s="40"/>
      <c r="S698" s="40"/>
      <c r="T698" s="40"/>
      <c r="U698" s="40"/>
      <c r="V698" s="40"/>
      <c r="W698" s="40"/>
    </row>
    <row r="699" ht="12.75" customHeight="1">
      <c r="B699" s="24"/>
      <c r="C699" s="24"/>
      <c r="Q699" s="40"/>
      <c r="R699" s="40"/>
      <c r="S699" s="40"/>
      <c r="T699" s="40"/>
      <c r="U699" s="40"/>
      <c r="V699" s="40"/>
      <c r="W699" s="40"/>
    </row>
    <row r="700" ht="12.75" customHeight="1">
      <c r="B700" s="24"/>
      <c r="C700" s="24"/>
      <c r="Q700" s="40"/>
      <c r="R700" s="40"/>
      <c r="S700" s="40"/>
      <c r="T700" s="40"/>
      <c r="U700" s="40"/>
      <c r="V700" s="40"/>
      <c r="W700" s="40"/>
    </row>
    <row r="701" ht="12.75" customHeight="1">
      <c r="B701" s="24"/>
      <c r="C701" s="24"/>
      <c r="Q701" s="40"/>
      <c r="R701" s="40"/>
      <c r="S701" s="40"/>
      <c r="T701" s="40"/>
      <c r="U701" s="40"/>
      <c r="V701" s="40"/>
      <c r="W701" s="40"/>
    </row>
    <row r="702" ht="12.75" customHeight="1">
      <c r="B702" s="24"/>
      <c r="C702" s="24"/>
      <c r="Q702" s="40"/>
      <c r="R702" s="40"/>
      <c r="S702" s="40"/>
      <c r="T702" s="40"/>
      <c r="U702" s="40"/>
      <c r="V702" s="40"/>
      <c r="W702" s="40"/>
    </row>
    <row r="703" ht="12.75" customHeight="1">
      <c r="B703" s="24"/>
      <c r="C703" s="24"/>
      <c r="Q703" s="40"/>
      <c r="R703" s="40"/>
      <c r="S703" s="40"/>
      <c r="T703" s="40"/>
      <c r="U703" s="40"/>
      <c r="V703" s="40"/>
      <c r="W703" s="40"/>
    </row>
    <row r="704" ht="12.75" customHeight="1">
      <c r="B704" s="24"/>
      <c r="C704" s="24"/>
      <c r="Q704" s="40"/>
      <c r="R704" s="40"/>
      <c r="S704" s="40"/>
      <c r="T704" s="40"/>
      <c r="U704" s="40"/>
      <c r="V704" s="40"/>
      <c r="W704" s="40"/>
    </row>
    <row r="705" ht="12.75" customHeight="1">
      <c r="B705" s="24"/>
      <c r="C705" s="24"/>
      <c r="Q705" s="40"/>
      <c r="R705" s="40"/>
      <c r="S705" s="40"/>
      <c r="T705" s="40"/>
      <c r="U705" s="40"/>
      <c r="V705" s="40"/>
      <c r="W705" s="40"/>
    </row>
    <row r="706" ht="12.75" customHeight="1">
      <c r="B706" s="24"/>
      <c r="C706" s="24"/>
      <c r="Q706" s="40"/>
      <c r="R706" s="40"/>
      <c r="S706" s="40"/>
      <c r="T706" s="40"/>
      <c r="U706" s="40"/>
      <c r="V706" s="40"/>
      <c r="W706" s="40"/>
    </row>
    <row r="707" ht="12.75" customHeight="1">
      <c r="B707" s="24"/>
      <c r="C707" s="24"/>
      <c r="Q707" s="40"/>
      <c r="R707" s="40"/>
      <c r="S707" s="40"/>
      <c r="T707" s="40"/>
      <c r="U707" s="40"/>
      <c r="V707" s="40"/>
      <c r="W707" s="40"/>
    </row>
    <row r="708" ht="12.75" customHeight="1">
      <c r="B708" s="24"/>
      <c r="C708" s="24"/>
      <c r="Q708" s="40"/>
      <c r="R708" s="40"/>
      <c r="S708" s="40"/>
      <c r="T708" s="40"/>
      <c r="U708" s="40"/>
      <c r="V708" s="40"/>
      <c r="W708" s="40"/>
    </row>
    <row r="709" ht="12.75" customHeight="1">
      <c r="B709" s="24"/>
      <c r="C709" s="24"/>
      <c r="Q709" s="40"/>
      <c r="R709" s="40"/>
      <c r="S709" s="40"/>
      <c r="T709" s="40"/>
      <c r="U709" s="40"/>
      <c r="V709" s="40"/>
      <c r="W709" s="40"/>
    </row>
    <row r="710" ht="12.75" customHeight="1">
      <c r="B710" s="24"/>
      <c r="C710" s="24"/>
      <c r="Q710" s="40"/>
      <c r="R710" s="40"/>
      <c r="S710" s="40"/>
      <c r="T710" s="40"/>
      <c r="U710" s="40"/>
      <c r="V710" s="40"/>
      <c r="W710" s="40"/>
    </row>
    <row r="711" ht="12.75" customHeight="1">
      <c r="B711" s="24"/>
      <c r="C711" s="24"/>
      <c r="Q711" s="40"/>
      <c r="R711" s="40"/>
      <c r="S711" s="40"/>
      <c r="T711" s="40"/>
      <c r="U711" s="40"/>
      <c r="V711" s="40"/>
      <c r="W711" s="40"/>
    </row>
    <row r="712" ht="12.75" customHeight="1">
      <c r="B712" s="24"/>
      <c r="C712" s="24"/>
      <c r="Q712" s="40"/>
      <c r="R712" s="40"/>
      <c r="S712" s="40"/>
      <c r="T712" s="40"/>
      <c r="U712" s="40"/>
      <c r="V712" s="40"/>
      <c r="W712" s="40"/>
    </row>
    <row r="713" ht="12.75" customHeight="1">
      <c r="B713" s="24"/>
      <c r="C713" s="24"/>
      <c r="Q713" s="40"/>
      <c r="R713" s="40"/>
      <c r="S713" s="40"/>
      <c r="T713" s="40"/>
      <c r="U713" s="40"/>
      <c r="V713" s="40"/>
      <c r="W713" s="40"/>
    </row>
    <row r="714" ht="12.75" customHeight="1">
      <c r="B714" s="24"/>
      <c r="C714" s="24"/>
      <c r="Q714" s="40"/>
      <c r="R714" s="40"/>
      <c r="S714" s="40"/>
      <c r="T714" s="40"/>
      <c r="U714" s="40"/>
      <c r="V714" s="40"/>
      <c r="W714" s="40"/>
    </row>
    <row r="715" ht="12.75" customHeight="1">
      <c r="B715" s="24"/>
      <c r="C715" s="24"/>
      <c r="Q715" s="40"/>
      <c r="R715" s="40"/>
      <c r="S715" s="40"/>
      <c r="T715" s="40"/>
      <c r="U715" s="40"/>
      <c r="V715" s="40"/>
      <c r="W715" s="40"/>
    </row>
    <row r="716" ht="12.75" customHeight="1">
      <c r="B716" s="24"/>
      <c r="C716" s="24"/>
      <c r="Q716" s="40"/>
      <c r="R716" s="40"/>
      <c r="S716" s="40"/>
      <c r="T716" s="40"/>
      <c r="U716" s="40"/>
      <c r="V716" s="40"/>
      <c r="W716" s="40"/>
    </row>
    <row r="717" ht="12.75" customHeight="1">
      <c r="B717" s="24"/>
      <c r="C717" s="24"/>
      <c r="Q717" s="40"/>
      <c r="R717" s="40"/>
      <c r="S717" s="40"/>
      <c r="T717" s="40"/>
      <c r="U717" s="40"/>
      <c r="V717" s="40"/>
      <c r="W717" s="40"/>
    </row>
    <row r="718" ht="12.75" customHeight="1">
      <c r="B718" s="24"/>
      <c r="C718" s="24"/>
      <c r="Q718" s="40"/>
      <c r="R718" s="40"/>
      <c r="S718" s="40"/>
      <c r="T718" s="40"/>
      <c r="U718" s="40"/>
      <c r="V718" s="40"/>
      <c r="W718" s="40"/>
    </row>
    <row r="719" ht="12.75" customHeight="1">
      <c r="B719" s="24"/>
      <c r="C719" s="24"/>
      <c r="Q719" s="40"/>
      <c r="R719" s="40"/>
      <c r="S719" s="40"/>
      <c r="T719" s="40"/>
      <c r="U719" s="40"/>
      <c r="V719" s="40"/>
      <c r="W719" s="40"/>
    </row>
    <row r="720" ht="12.75" customHeight="1">
      <c r="B720" s="24"/>
      <c r="C720" s="24"/>
      <c r="Q720" s="40"/>
      <c r="R720" s="40"/>
      <c r="S720" s="40"/>
      <c r="T720" s="40"/>
      <c r="U720" s="40"/>
      <c r="V720" s="40"/>
      <c r="W720" s="40"/>
    </row>
    <row r="721" ht="12.75" customHeight="1">
      <c r="B721" s="24"/>
      <c r="C721" s="24"/>
      <c r="Q721" s="40"/>
      <c r="R721" s="40"/>
      <c r="S721" s="40"/>
      <c r="T721" s="40"/>
      <c r="U721" s="40"/>
      <c r="V721" s="40"/>
      <c r="W721" s="40"/>
    </row>
    <row r="722" ht="12.75" customHeight="1">
      <c r="B722" s="24"/>
      <c r="C722" s="24"/>
      <c r="Q722" s="40"/>
      <c r="R722" s="40"/>
      <c r="S722" s="40"/>
      <c r="T722" s="40"/>
      <c r="U722" s="40"/>
      <c r="V722" s="40"/>
      <c r="W722" s="40"/>
    </row>
    <row r="723" ht="12.75" customHeight="1">
      <c r="B723" s="24"/>
      <c r="C723" s="24"/>
      <c r="Q723" s="40"/>
      <c r="R723" s="40"/>
      <c r="S723" s="40"/>
      <c r="T723" s="40"/>
      <c r="U723" s="40"/>
      <c r="V723" s="40"/>
      <c r="W723" s="40"/>
    </row>
    <row r="724" ht="12.75" customHeight="1">
      <c r="B724" s="24"/>
      <c r="C724" s="24"/>
      <c r="Q724" s="40"/>
      <c r="R724" s="40"/>
      <c r="S724" s="40"/>
      <c r="T724" s="40"/>
      <c r="U724" s="40"/>
      <c r="V724" s="40"/>
      <c r="W724" s="40"/>
    </row>
    <row r="725" ht="12.75" customHeight="1">
      <c r="B725" s="24"/>
      <c r="C725" s="24"/>
      <c r="Q725" s="40"/>
      <c r="R725" s="40"/>
      <c r="S725" s="40"/>
      <c r="T725" s="40"/>
      <c r="U725" s="40"/>
      <c r="V725" s="40"/>
      <c r="W725" s="40"/>
    </row>
    <row r="726" ht="12.75" customHeight="1">
      <c r="B726" s="24"/>
      <c r="C726" s="24"/>
      <c r="Q726" s="40"/>
      <c r="R726" s="40"/>
      <c r="S726" s="40"/>
      <c r="T726" s="40"/>
      <c r="U726" s="40"/>
      <c r="V726" s="40"/>
      <c r="W726" s="40"/>
    </row>
    <row r="727" ht="12.75" customHeight="1">
      <c r="B727" s="24"/>
      <c r="C727" s="24"/>
      <c r="Q727" s="40"/>
      <c r="R727" s="40"/>
      <c r="S727" s="40"/>
      <c r="T727" s="40"/>
      <c r="U727" s="40"/>
      <c r="V727" s="40"/>
      <c r="W727" s="40"/>
    </row>
    <row r="728" ht="12.75" customHeight="1">
      <c r="B728" s="24"/>
      <c r="C728" s="24"/>
      <c r="Q728" s="40"/>
      <c r="R728" s="40"/>
      <c r="S728" s="40"/>
      <c r="T728" s="40"/>
      <c r="U728" s="40"/>
      <c r="V728" s="40"/>
      <c r="W728" s="40"/>
    </row>
    <row r="729" ht="12.75" customHeight="1">
      <c r="B729" s="24"/>
      <c r="C729" s="24"/>
      <c r="Q729" s="40"/>
      <c r="R729" s="40"/>
      <c r="S729" s="40"/>
      <c r="T729" s="40"/>
      <c r="U729" s="40"/>
      <c r="V729" s="40"/>
      <c r="W729" s="40"/>
    </row>
    <row r="730" ht="12.75" customHeight="1">
      <c r="B730" s="24"/>
      <c r="C730" s="24"/>
      <c r="Q730" s="40"/>
      <c r="R730" s="40"/>
      <c r="S730" s="40"/>
      <c r="T730" s="40"/>
      <c r="U730" s="40"/>
      <c r="V730" s="40"/>
      <c r="W730" s="40"/>
    </row>
    <row r="731" ht="12.75" customHeight="1">
      <c r="B731" s="24"/>
      <c r="C731" s="24"/>
      <c r="Q731" s="40"/>
      <c r="R731" s="40"/>
      <c r="S731" s="40"/>
      <c r="T731" s="40"/>
      <c r="U731" s="40"/>
      <c r="V731" s="40"/>
      <c r="W731" s="40"/>
    </row>
    <row r="732" ht="12.75" customHeight="1">
      <c r="B732" s="24"/>
      <c r="C732" s="24"/>
      <c r="Q732" s="40"/>
      <c r="R732" s="40"/>
      <c r="S732" s="40"/>
      <c r="T732" s="40"/>
      <c r="U732" s="40"/>
      <c r="V732" s="40"/>
      <c r="W732" s="40"/>
    </row>
    <row r="733" ht="12.75" customHeight="1">
      <c r="B733" s="24"/>
      <c r="C733" s="24"/>
      <c r="Q733" s="40"/>
      <c r="R733" s="40"/>
      <c r="S733" s="40"/>
      <c r="T733" s="40"/>
      <c r="U733" s="40"/>
      <c r="V733" s="40"/>
      <c r="W733" s="40"/>
    </row>
    <row r="734" ht="12.75" customHeight="1">
      <c r="B734" s="24"/>
      <c r="C734" s="24"/>
      <c r="Q734" s="40"/>
      <c r="R734" s="40"/>
      <c r="S734" s="40"/>
      <c r="T734" s="40"/>
      <c r="U734" s="40"/>
      <c r="V734" s="40"/>
      <c r="W734" s="40"/>
    </row>
    <row r="735" ht="12.75" customHeight="1">
      <c r="B735" s="24"/>
      <c r="C735" s="24"/>
      <c r="Q735" s="40"/>
      <c r="R735" s="40"/>
      <c r="S735" s="40"/>
      <c r="T735" s="40"/>
      <c r="U735" s="40"/>
      <c r="V735" s="40"/>
      <c r="W735" s="40"/>
    </row>
    <row r="736" ht="12.75" customHeight="1">
      <c r="B736" s="24"/>
      <c r="C736" s="24"/>
      <c r="Q736" s="40"/>
      <c r="R736" s="40"/>
      <c r="S736" s="40"/>
      <c r="T736" s="40"/>
      <c r="U736" s="40"/>
      <c r="V736" s="40"/>
      <c r="W736" s="40"/>
    </row>
    <row r="737" ht="12.75" customHeight="1">
      <c r="B737" s="24"/>
      <c r="C737" s="24"/>
      <c r="Q737" s="40"/>
      <c r="R737" s="40"/>
      <c r="S737" s="40"/>
      <c r="T737" s="40"/>
      <c r="U737" s="40"/>
      <c r="V737" s="40"/>
      <c r="W737" s="40"/>
    </row>
    <row r="738" ht="12.75" customHeight="1">
      <c r="B738" s="24"/>
      <c r="C738" s="24"/>
      <c r="Q738" s="40"/>
      <c r="R738" s="40"/>
      <c r="S738" s="40"/>
      <c r="T738" s="40"/>
      <c r="U738" s="40"/>
      <c r="V738" s="40"/>
      <c r="W738" s="40"/>
    </row>
    <row r="739" ht="12.75" customHeight="1">
      <c r="B739" s="24"/>
      <c r="C739" s="24"/>
      <c r="Q739" s="40"/>
      <c r="R739" s="40"/>
      <c r="S739" s="40"/>
      <c r="T739" s="40"/>
      <c r="U739" s="40"/>
      <c r="V739" s="40"/>
      <c r="W739" s="40"/>
    </row>
    <row r="740" ht="12.75" customHeight="1">
      <c r="B740" s="24"/>
      <c r="C740" s="24"/>
      <c r="Q740" s="40"/>
      <c r="R740" s="40"/>
      <c r="S740" s="40"/>
      <c r="T740" s="40"/>
      <c r="U740" s="40"/>
      <c r="V740" s="40"/>
      <c r="W740" s="40"/>
    </row>
    <row r="741" ht="12.75" customHeight="1">
      <c r="B741" s="24"/>
      <c r="C741" s="24"/>
      <c r="Q741" s="40"/>
      <c r="R741" s="40"/>
      <c r="S741" s="40"/>
      <c r="T741" s="40"/>
      <c r="U741" s="40"/>
      <c r="V741" s="40"/>
      <c r="W741" s="40"/>
    </row>
    <row r="742" ht="12.75" customHeight="1">
      <c r="B742" s="24"/>
      <c r="C742" s="24"/>
      <c r="Q742" s="40"/>
      <c r="R742" s="40"/>
      <c r="S742" s="40"/>
      <c r="T742" s="40"/>
      <c r="U742" s="40"/>
      <c r="V742" s="40"/>
      <c r="W742" s="40"/>
    </row>
    <row r="743" ht="12.75" customHeight="1">
      <c r="B743" s="24"/>
      <c r="C743" s="24"/>
      <c r="Q743" s="40"/>
      <c r="R743" s="40"/>
      <c r="S743" s="40"/>
      <c r="T743" s="40"/>
      <c r="U743" s="40"/>
      <c r="V743" s="40"/>
      <c r="W743" s="40"/>
    </row>
    <row r="744" ht="12.75" customHeight="1">
      <c r="B744" s="24"/>
      <c r="C744" s="24"/>
      <c r="Q744" s="40"/>
      <c r="R744" s="40"/>
      <c r="S744" s="40"/>
      <c r="T744" s="40"/>
      <c r="U744" s="40"/>
      <c r="V744" s="40"/>
      <c r="W744" s="40"/>
    </row>
    <row r="745" ht="12.75" customHeight="1">
      <c r="B745" s="24"/>
      <c r="C745" s="24"/>
      <c r="Q745" s="40"/>
      <c r="R745" s="40"/>
      <c r="S745" s="40"/>
      <c r="T745" s="40"/>
      <c r="U745" s="40"/>
      <c r="V745" s="40"/>
      <c r="W745" s="40"/>
    </row>
    <row r="746" ht="12.75" customHeight="1">
      <c r="B746" s="24"/>
      <c r="C746" s="24"/>
      <c r="Q746" s="40"/>
      <c r="R746" s="40"/>
      <c r="S746" s="40"/>
      <c r="T746" s="40"/>
      <c r="U746" s="40"/>
      <c r="V746" s="40"/>
      <c r="W746" s="40"/>
    </row>
    <row r="747" ht="12.75" customHeight="1">
      <c r="B747" s="24"/>
      <c r="C747" s="24"/>
      <c r="Q747" s="40"/>
      <c r="R747" s="40"/>
      <c r="S747" s="40"/>
      <c r="T747" s="40"/>
      <c r="U747" s="40"/>
      <c r="V747" s="40"/>
      <c r="W747" s="40"/>
    </row>
    <row r="748" ht="12.75" customHeight="1">
      <c r="B748" s="24"/>
      <c r="C748" s="24"/>
      <c r="Q748" s="40"/>
      <c r="R748" s="40"/>
      <c r="S748" s="40"/>
      <c r="T748" s="40"/>
      <c r="U748" s="40"/>
      <c r="V748" s="40"/>
      <c r="W748" s="40"/>
    </row>
    <row r="749" ht="12.75" customHeight="1">
      <c r="B749" s="24"/>
      <c r="C749" s="24"/>
      <c r="Q749" s="40"/>
      <c r="R749" s="40"/>
      <c r="S749" s="40"/>
      <c r="T749" s="40"/>
      <c r="U749" s="40"/>
      <c r="V749" s="40"/>
      <c r="W749" s="40"/>
    </row>
    <row r="750" ht="12.75" customHeight="1">
      <c r="B750" s="24"/>
      <c r="C750" s="24"/>
      <c r="Q750" s="40"/>
      <c r="R750" s="40"/>
      <c r="S750" s="40"/>
      <c r="T750" s="40"/>
      <c r="U750" s="40"/>
      <c r="V750" s="40"/>
      <c r="W750" s="40"/>
    </row>
    <row r="751" ht="12.75" customHeight="1">
      <c r="B751" s="24"/>
      <c r="C751" s="24"/>
      <c r="Q751" s="40"/>
      <c r="R751" s="40"/>
      <c r="S751" s="40"/>
      <c r="T751" s="40"/>
      <c r="U751" s="40"/>
      <c r="V751" s="40"/>
      <c r="W751" s="40"/>
    </row>
    <row r="752" ht="12.75" customHeight="1">
      <c r="B752" s="24"/>
      <c r="C752" s="24"/>
      <c r="Q752" s="40"/>
      <c r="R752" s="40"/>
      <c r="S752" s="40"/>
      <c r="T752" s="40"/>
      <c r="U752" s="40"/>
      <c r="V752" s="40"/>
      <c r="W752" s="40"/>
    </row>
    <row r="753" ht="12.75" customHeight="1">
      <c r="B753" s="24"/>
      <c r="C753" s="24"/>
      <c r="Q753" s="40"/>
      <c r="R753" s="40"/>
      <c r="S753" s="40"/>
      <c r="T753" s="40"/>
      <c r="U753" s="40"/>
      <c r="V753" s="40"/>
      <c r="W753" s="40"/>
    </row>
    <row r="754" ht="12.75" customHeight="1">
      <c r="B754" s="24"/>
      <c r="C754" s="24"/>
      <c r="Q754" s="40"/>
      <c r="R754" s="40"/>
      <c r="S754" s="40"/>
      <c r="T754" s="40"/>
      <c r="U754" s="40"/>
      <c r="V754" s="40"/>
      <c r="W754" s="40"/>
    </row>
    <row r="755" ht="12.75" customHeight="1">
      <c r="B755" s="24"/>
      <c r="C755" s="24"/>
      <c r="Q755" s="40"/>
      <c r="R755" s="40"/>
      <c r="S755" s="40"/>
      <c r="T755" s="40"/>
      <c r="U755" s="40"/>
      <c r="V755" s="40"/>
      <c r="W755" s="40"/>
    </row>
    <row r="756" ht="12.75" customHeight="1">
      <c r="B756" s="24"/>
      <c r="C756" s="24"/>
      <c r="Q756" s="40"/>
      <c r="R756" s="40"/>
      <c r="S756" s="40"/>
      <c r="T756" s="40"/>
      <c r="U756" s="40"/>
      <c r="V756" s="40"/>
      <c r="W756" s="40"/>
    </row>
    <row r="757" ht="12.75" customHeight="1">
      <c r="B757" s="24"/>
      <c r="C757" s="24"/>
      <c r="Q757" s="40"/>
      <c r="R757" s="40"/>
      <c r="S757" s="40"/>
      <c r="T757" s="40"/>
      <c r="U757" s="40"/>
      <c r="V757" s="40"/>
      <c r="W757" s="40"/>
    </row>
    <row r="758" ht="12.75" customHeight="1">
      <c r="B758" s="24"/>
      <c r="C758" s="24"/>
      <c r="Q758" s="40"/>
      <c r="R758" s="40"/>
      <c r="S758" s="40"/>
      <c r="T758" s="40"/>
      <c r="U758" s="40"/>
      <c r="V758" s="40"/>
      <c r="W758" s="40"/>
    </row>
    <row r="759" ht="12.75" customHeight="1">
      <c r="B759" s="24"/>
      <c r="C759" s="24"/>
      <c r="Q759" s="40"/>
      <c r="R759" s="40"/>
      <c r="S759" s="40"/>
      <c r="T759" s="40"/>
      <c r="U759" s="40"/>
      <c r="V759" s="40"/>
      <c r="W759" s="40"/>
    </row>
    <row r="760" ht="12.75" customHeight="1">
      <c r="B760" s="24"/>
      <c r="C760" s="24"/>
      <c r="Q760" s="40"/>
      <c r="R760" s="40"/>
      <c r="S760" s="40"/>
      <c r="T760" s="40"/>
      <c r="U760" s="40"/>
      <c r="V760" s="40"/>
      <c r="W760" s="40"/>
    </row>
    <row r="761" ht="12.75" customHeight="1">
      <c r="B761" s="24"/>
      <c r="C761" s="24"/>
      <c r="Q761" s="40"/>
      <c r="R761" s="40"/>
      <c r="S761" s="40"/>
      <c r="T761" s="40"/>
      <c r="U761" s="40"/>
      <c r="V761" s="40"/>
      <c r="W761" s="40"/>
    </row>
    <row r="762" ht="12.75" customHeight="1">
      <c r="B762" s="24"/>
      <c r="C762" s="24"/>
      <c r="Q762" s="40"/>
      <c r="R762" s="40"/>
      <c r="S762" s="40"/>
      <c r="T762" s="40"/>
      <c r="U762" s="40"/>
      <c r="V762" s="40"/>
      <c r="W762" s="40"/>
    </row>
    <row r="763" ht="12.75" customHeight="1">
      <c r="B763" s="24"/>
      <c r="C763" s="24"/>
      <c r="Q763" s="40"/>
      <c r="R763" s="40"/>
      <c r="S763" s="40"/>
      <c r="T763" s="40"/>
      <c r="U763" s="40"/>
      <c r="V763" s="40"/>
      <c r="W763" s="40"/>
    </row>
    <row r="764" ht="12.75" customHeight="1">
      <c r="B764" s="24"/>
      <c r="C764" s="24"/>
      <c r="Q764" s="40"/>
      <c r="R764" s="40"/>
      <c r="S764" s="40"/>
      <c r="T764" s="40"/>
      <c r="U764" s="40"/>
      <c r="V764" s="40"/>
      <c r="W764" s="40"/>
    </row>
    <row r="765" ht="12.75" customHeight="1">
      <c r="B765" s="24"/>
      <c r="C765" s="24"/>
      <c r="Q765" s="40"/>
      <c r="R765" s="40"/>
      <c r="S765" s="40"/>
      <c r="T765" s="40"/>
      <c r="U765" s="40"/>
      <c r="V765" s="40"/>
      <c r="W765" s="40"/>
    </row>
    <row r="766" ht="12.75" customHeight="1">
      <c r="B766" s="24"/>
      <c r="C766" s="24"/>
      <c r="Q766" s="40"/>
      <c r="R766" s="40"/>
      <c r="S766" s="40"/>
      <c r="T766" s="40"/>
      <c r="U766" s="40"/>
      <c r="V766" s="40"/>
      <c r="W766" s="40"/>
    </row>
    <row r="767" ht="12.75" customHeight="1">
      <c r="B767" s="24"/>
      <c r="C767" s="24"/>
      <c r="Q767" s="40"/>
      <c r="R767" s="40"/>
      <c r="S767" s="40"/>
      <c r="T767" s="40"/>
      <c r="U767" s="40"/>
      <c r="V767" s="40"/>
      <c r="W767" s="40"/>
    </row>
    <row r="768" ht="12.75" customHeight="1">
      <c r="B768" s="24"/>
      <c r="C768" s="24"/>
      <c r="Q768" s="40"/>
      <c r="R768" s="40"/>
      <c r="S768" s="40"/>
      <c r="T768" s="40"/>
      <c r="U768" s="40"/>
      <c r="V768" s="40"/>
      <c r="W768" s="40"/>
    </row>
    <row r="769" ht="12.75" customHeight="1">
      <c r="B769" s="24"/>
      <c r="C769" s="24"/>
      <c r="Q769" s="40"/>
      <c r="R769" s="40"/>
      <c r="S769" s="40"/>
      <c r="T769" s="40"/>
      <c r="U769" s="40"/>
      <c r="V769" s="40"/>
      <c r="W769" s="40"/>
    </row>
    <row r="770" ht="12.75" customHeight="1">
      <c r="B770" s="24"/>
      <c r="C770" s="24"/>
      <c r="Q770" s="40"/>
      <c r="R770" s="40"/>
      <c r="S770" s="40"/>
      <c r="T770" s="40"/>
      <c r="U770" s="40"/>
      <c r="V770" s="40"/>
      <c r="W770" s="40"/>
    </row>
    <row r="771" ht="12.75" customHeight="1">
      <c r="B771" s="24"/>
      <c r="C771" s="24"/>
      <c r="Q771" s="40"/>
      <c r="R771" s="40"/>
      <c r="S771" s="40"/>
      <c r="T771" s="40"/>
      <c r="U771" s="40"/>
      <c r="V771" s="40"/>
      <c r="W771" s="40"/>
    </row>
    <row r="772" ht="12.75" customHeight="1">
      <c r="B772" s="24"/>
      <c r="C772" s="24"/>
      <c r="Q772" s="40"/>
      <c r="R772" s="40"/>
      <c r="S772" s="40"/>
      <c r="T772" s="40"/>
      <c r="U772" s="40"/>
      <c r="V772" s="40"/>
      <c r="W772" s="40"/>
    </row>
    <row r="773" ht="12.75" customHeight="1">
      <c r="B773" s="24"/>
      <c r="C773" s="24"/>
      <c r="Q773" s="40"/>
      <c r="R773" s="40"/>
      <c r="S773" s="40"/>
      <c r="T773" s="40"/>
      <c r="U773" s="40"/>
      <c r="V773" s="40"/>
      <c r="W773" s="40"/>
    </row>
    <row r="774" ht="12.75" customHeight="1">
      <c r="B774" s="24"/>
      <c r="C774" s="24"/>
      <c r="Q774" s="40"/>
      <c r="R774" s="40"/>
      <c r="S774" s="40"/>
      <c r="T774" s="40"/>
      <c r="U774" s="40"/>
      <c r="V774" s="40"/>
      <c r="W774" s="40"/>
    </row>
    <row r="775" ht="12.75" customHeight="1">
      <c r="B775" s="24"/>
      <c r="C775" s="24"/>
      <c r="Q775" s="40"/>
      <c r="R775" s="40"/>
      <c r="S775" s="40"/>
      <c r="T775" s="40"/>
      <c r="U775" s="40"/>
      <c r="V775" s="40"/>
      <c r="W775" s="40"/>
    </row>
    <row r="776" ht="12.75" customHeight="1">
      <c r="B776" s="24"/>
      <c r="C776" s="24"/>
      <c r="Q776" s="40"/>
      <c r="R776" s="40"/>
      <c r="S776" s="40"/>
      <c r="T776" s="40"/>
      <c r="U776" s="40"/>
      <c r="V776" s="40"/>
      <c r="W776" s="40"/>
    </row>
    <row r="777" ht="12.75" customHeight="1">
      <c r="B777" s="24"/>
      <c r="C777" s="24"/>
      <c r="Q777" s="40"/>
      <c r="R777" s="40"/>
      <c r="S777" s="40"/>
      <c r="T777" s="40"/>
      <c r="U777" s="40"/>
      <c r="V777" s="40"/>
      <c r="W777" s="40"/>
    </row>
    <row r="778" ht="12.75" customHeight="1">
      <c r="B778" s="24"/>
      <c r="C778" s="24"/>
      <c r="Q778" s="40"/>
      <c r="R778" s="40"/>
      <c r="S778" s="40"/>
      <c r="T778" s="40"/>
      <c r="U778" s="40"/>
      <c r="V778" s="40"/>
      <c r="W778" s="40"/>
    </row>
    <row r="779" ht="12.75" customHeight="1">
      <c r="B779" s="24"/>
      <c r="C779" s="24"/>
      <c r="Q779" s="40"/>
      <c r="R779" s="40"/>
      <c r="S779" s="40"/>
      <c r="T779" s="40"/>
      <c r="U779" s="40"/>
      <c r="V779" s="40"/>
      <c r="W779" s="40"/>
    </row>
    <row r="780" ht="12.75" customHeight="1">
      <c r="B780" s="24"/>
      <c r="C780" s="24"/>
      <c r="Q780" s="40"/>
      <c r="R780" s="40"/>
      <c r="S780" s="40"/>
      <c r="T780" s="40"/>
      <c r="U780" s="40"/>
      <c r="V780" s="40"/>
      <c r="W780" s="40"/>
    </row>
    <row r="781" ht="12.75" customHeight="1">
      <c r="B781" s="24"/>
      <c r="C781" s="24"/>
      <c r="Q781" s="40"/>
      <c r="R781" s="40"/>
      <c r="S781" s="40"/>
      <c r="T781" s="40"/>
      <c r="U781" s="40"/>
      <c r="V781" s="40"/>
      <c r="W781" s="40"/>
    </row>
    <row r="782" ht="12.75" customHeight="1">
      <c r="B782" s="24"/>
      <c r="C782" s="24"/>
      <c r="Q782" s="40"/>
      <c r="R782" s="40"/>
      <c r="S782" s="40"/>
      <c r="T782" s="40"/>
      <c r="U782" s="40"/>
      <c r="V782" s="40"/>
      <c r="W782" s="40"/>
    </row>
    <row r="783" ht="12.75" customHeight="1">
      <c r="B783" s="24"/>
      <c r="C783" s="24"/>
      <c r="Q783" s="40"/>
      <c r="R783" s="40"/>
      <c r="S783" s="40"/>
      <c r="T783" s="40"/>
      <c r="U783" s="40"/>
      <c r="V783" s="40"/>
      <c r="W783" s="40"/>
    </row>
    <row r="784" ht="12.75" customHeight="1">
      <c r="B784" s="24"/>
      <c r="C784" s="24"/>
      <c r="Q784" s="40"/>
      <c r="R784" s="40"/>
      <c r="S784" s="40"/>
      <c r="T784" s="40"/>
      <c r="U784" s="40"/>
      <c r="V784" s="40"/>
      <c r="W784" s="40"/>
    </row>
    <row r="785" ht="12.75" customHeight="1">
      <c r="B785" s="24"/>
      <c r="C785" s="24"/>
      <c r="Q785" s="40"/>
      <c r="R785" s="40"/>
      <c r="S785" s="40"/>
      <c r="T785" s="40"/>
      <c r="U785" s="40"/>
      <c r="V785" s="40"/>
      <c r="W785" s="40"/>
    </row>
    <row r="786" ht="12.75" customHeight="1">
      <c r="B786" s="24"/>
      <c r="C786" s="24"/>
      <c r="Q786" s="40"/>
      <c r="R786" s="40"/>
      <c r="S786" s="40"/>
      <c r="T786" s="40"/>
      <c r="U786" s="40"/>
      <c r="V786" s="40"/>
      <c r="W786" s="40"/>
    </row>
    <row r="787" ht="12.75" customHeight="1">
      <c r="B787" s="24"/>
      <c r="C787" s="24"/>
      <c r="Q787" s="40"/>
      <c r="R787" s="40"/>
      <c r="S787" s="40"/>
      <c r="T787" s="40"/>
      <c r="U787" s="40"/>
      <c r="V787" s="40"/>
      <c r="W787" s="40"/>
    </row>
    <row r="788" ht="12.75" customHeight="1">
      <c r="B788" s="24"/>
      <c r="C788" s="24"/>
      <c r="Q788" s="40"/>
      <c r="R788" s="40"/>
      <c r="S788" s="40"/>
      <c r="T788" s="40"/>
      <c r="U788" s="40"/>
      <c r="V788" s="40"/>
      <c r="W788" s="40"/>
    </row>
    <row r="789" ht="12.75" customHeight="1">
      <c r="B789" s="24"/>
      <c r="C789" s="24"/>
      <c r="Q789" s="40"/>
      <c r="R789" s="40"/>
      <c r="S789" s="40"/>
      <c r="T789" s="40"/>
      <c r="U789" s="40"/>
      <c r="V789" s="40"/>
      <c r="W789" s="40"/>
    </row>
    <row r="790" ht="12.75" customHeight="1">
      <c r="B790" s="24"/>
      <c r="C790" s="24"/>
      <c r="Q790" s="40"/>
      <c r="R790" s="40"/>
      <c r="S790" s="40"/>
      <c r="T790" s="40"/>
      <c r="U790" s="40"/>
      <c r="V790" s="40"/>
      <c r="W790" s="40"/>
    </row>
    <row r="791" ht="12.75" customHeight="1">
      <c r="B791" s="24"/>
      <c r="C791" s="24"/>
      <c r="Q791" s="40"/>
      <c r="R791" s="40"/>
      <c r="S791" s="40"/>
      <c r="T791" s="40"/>
      <c r="U791" s="40"/>
      <c r="V791" s="40"/>
      <c r="W791" s="40"/>
    </row>
    <row r="792" ht="12.75" customHeight="1">
      <c r="B792" s="24"/>
      <c r="C792" s="24"/>
      <c r="Q792" s="40"/>
      <c r="R792" s="40"/>
      <c r="S792" s="40"/>
      <c r="T792" s="40"/>
      <c r="U792" s="40"/>
      <c r="V792" s="40"/>
      <c r="W792" s="40"/>
    </row>
    <row r="793" ht="12.75" customHeight="1">
      <c r="B793" s="24"/>
      <c r="C793" s="24"/>
      <c r="Q793" s="40"/>
      <c r="R793" s="40"/>
      <c r="S793" s="40"/>
      <c r="T793" s="40"/>
      <c r="U793" s="40"/>
      <c r="V793" s="40"/>
      <c r="W793" s="40"/>
    </row>
    <row r="794" ht="12.75" customHeight="1">
      <c r="B794" s="24"/>
      <c r="C794" s="24"/>
      <c r="Q794" s="40"/>
      <c r="R794" s="40"/>
      <c r="S794" s="40"/>
      <c r="T794" s="40"/>
      <c r="U794" s="40"/>
      <c r="V794" s="40"/>
      <c r="W794" s="40"/>
    </row>
    <row r="795" ht="12.75" customHeight="1">
      <c r="B795" s="24"/>
      <c r="C795" s="24"/>
      <c r="Q795" s="40"/>
      <c r="R795" s="40"/>
      <c r="S795" s="40"/>
      <c r="T795" s="40"/>
      <c r="U795" s="40"/>
      <c r="V795" s="40"/>
      <c r="W795" s="40"/>
    </row>
    <row r="796" ht="12.75" customHeight="1">
      <c r="B796" s="24"/>
      <c r="C796" s="24"/>
      <c r="Q796" s="40"/>
      <c r="R796" s="40"/>
      <c r="S796" s="40"/>
      <c r="T796" s="40"/>
      <c r="U796" s="40"/>
      <c r="V796" s="40"/>
      <c r="W796" s="40"/>
    </row>
    <row r="797" ht="12.75" customHeight="1">
      <c r="B797" s="24"/>
      <c r="C797" s="24"/>
      <c r="Q797" s="40"/>
      <c r="R797" s="40"/>
      <c r="S797" s="40"/>
      <c r="T797" s="40"/>
      <c r="U797" s="40"/>
      <c r="V797" s="40"/>
      <c r="W797" s="40"/>
    </row>
    <row r="798" ht="12.75" customHeight="1">
      <c r="B798" s="24"/>
      <c r="C798" s="24"/>
      <c r="Q798" s="40"/>
      <c r="R798" s="40"/>
      <c r="S798" s="40"/>
      <c r="T798" s="40"/>
      <c r="U798" s="40"/>
      <c r="V798" s="40"/>
      <c r="W798" s="40"/>
    </row>
    <row r="799" ht="12.75" customHeight="1">
      <c r="B799" s="24"/>
      <c r="C799" s="24"/>
      <c r="Q799" s="40"/>
      <c r="R799" s="40"/>
      <c r="S799" s="40"/>
      <c r="T799" s="40"/>
      <c r="U799" s="40"/>
      <c r="V799" s="40"/>
      <c r="W799" s="40"/>
    </row>
    <row r="800" ht="12.75" customHeight="1">
      <c r="B800" s="24"/>
      <c r="C800" s="24"/>
      <c r="Q800" s="40"/>
      <c r="R800" s="40"/>
      <c r="S800" s="40"/>
      <c r="T800" s="40"/>
      <c r="U800" s="40"/>
      <c r="V800" s="40"/>
      <c r="W800" s="40"/>
    </row>
    <row r="801" ht="12.75" customHeight="1">
      <c r="B801" s="24"/>
      <c r="C801" s="24"/>
      <c r="Q801" s="40"/>
      <c r="R801" s="40"/>
      <c r="S801" s="40"/>
      <c r="T801" s="40"/>
      <c r="U801" s="40"/>
      <c r="V801" s="40"/>
      <c r="W801" s="40"/>
    </row>
    <row r="802" ht="12.75" customHeight="1">
      <c r="B802" s="24"/>
      <c r="C802" s="24"/>
      <c r="Q802" s="40"/>
      <c r="R802" s="40"/>
      <c r="S802" s="40"/>
      <c r="T802" s="40"/>
      <c r="U802" s="40"/>
      <c r="V802" s="40"/>
      <c r="W802" s="40"/>
    </row>
    <row r="803" ht="12.75" customHeight="1">
      <c r="B803" s="24"/>
      <c r="C803" s="24"/>
      <c r="Q803" s="40"/>
      <c r="R803" s="40"/>
      <c r="S803" s="40"/>
      <c r="T803" s="40"/>
      <c r="U803" s="40"/>
      <c r="V803" s="40"/>
      <c r="W803" s="40"/>
    </row>
    <row r="804" ht="12.75" customHeight="1">
      <c r="B804" s="24"/>
      <c r="C804" s="24"/>
      <c r="Q804" s="40"/>
      <c r="R804" s="40"/>
      <c r="S804" s="40"/>
      <c r="T804" s="40"/>
      <c r="U804" s="40"/>
      <c r="V804" s="40"/>
      <c r="W804" s="40"/>
    </row>
    <row r="805" ht="12.75" customHeight="1">
      <c r="B805" s="24"/>
      <c r="C805" s="24"/>
      <c r="Q805" s="40"/>
      <c r="R805" s="40"/>
      <c r="S805" s="40"/>
      <c r="T805" s="40"/>
      <c r="U805" s="40"/>
      <c r="V805" s="40"/>
      <c r="W805" s="40"/>
    </row>
    <row r="806" ht="12.75" customHeight="1">
      <c r="B806" s="24"/>
      <c r="C806" s="24"/>
      <c r="Q806" s="40"/>
      <c r="R806" s="40"/>
      <c r="S806" s="40"/>
      <c r="T806" s="40"/>
      <c r="U806" s="40"/>
      <c r="V806" s="40"/>
      <c r="W806" s="40"/>
    </row>
    <row r="807" ht="12.75" customHeight="1">
      <c r="B807" s="24"/>
      <c r="C807" s="24"/>
      <c r="Q807" s="40"/>
      <c r="R807" s="40"/>
      <c r="S807" s="40"/>
      <c r="T807" s="40"/>
      <c r="U807" s="40"/>
      <c r="V807" s="40"/>
      <c r="W807" s="40"/>
    </row>
    <row r="808" ht="12.75" customHeight="1">
      <c r="B808" s="24"/>
      <c r="C808" s="24"/>
      <c r="Q808" s="40"/>
      <c r="R808" s="40"/>
      <c r="S808" s="40"/>
      <c r="T808" s="40"/>
      <c r="U808" s="40"/>
      <c r="V808" s="40"/>
      <c r="W808" s="40"/>
    </row>
    <row r="809" ht="12.75" customHeight="1">
      <c r="B809" s="24"/>
      <c r="C809" s="24"/>
      <c r="Q809" s="40"/>
      <c r="R809" s="40"/>
      <c r="S809" s="40"/>
      <c r="T809" s="40"/>
      <c r="U809" s="40"/>
      <c r="V809" s="40"/>
      <c r="W809" s="40"/>
    </row>
    <row r="810" ht="12.75" customHeight="1">
      <c r="B810" s="24"/>
      <c r="C810" s="24"/>
      <c r="Q810" s="40"/>
      <c r="R810" s="40"/>
      <c r="S810" s="40"/>
      <c r="T810" s="40"/>
      <c r="U810" s="40"/>
      <c r="V810" s="40"/>
      <c r="W810" s="40"/>
    </row>
    <row r="811" ht="12.75" customHeight="1">
      <c r="B811" s="24"/>
      <c r="C811" s="24"/>
      <c r="Q811" s="40"/>
      <c r="R811" s="40"/>
      <c r="S811" s="40"/>
      <c r="T811" s="40"/>
      <c r="U811" s="40"/>
      <c r="V811" s="40"/>
      <c r="W811" s="40"/>
    </row>
    <row r="812" ht="12.75" customHeight="1">
      <c r="B812" s="24"/>
      <c r="C812" s="24"/>
      <c r="Q812" s="40"/>
      <c r="R812" s="40"/>
      <c r="S812" s="40"/>
      <c r="T812" s="40"/>
      <c r="U812" s="40"/>
      <c r="V812" s="40"/>
      <c r="W812" s="40"/>
    </row>
    <row r="813" ht="12.75" customHeight="1">
      <c r="B813" s="24"/>
      <c r="C813" s="24"/>
      <c r="Q813" s="40"/>
      <c r="R813" s="40"/>
      <c r="S813" s="40"/>
      <c r="T813" s="40"/>
      <c r="U813" s="40"/>
      <c r="V813" s="40"/>
      <c r="W813" s="40"/>
    </row>
    <row r="814" ht="12.75" customHeight="1">
      <c r="B814" s="24"/>
      <c r="C814" s="24"/>
      <c r="Q814" s="40"/>
      <c r="R814" s="40"/>
      <c r="S814" s="40"/>
      <c r="T814" s="40"/>
      <c r="U814" s="40"/>
      <c r="V814" s="40"/>
      <c r="W814" s="40"/>
    </row>
    <row r="815" ht="12.75" customHeight="1">
      <c r="B815" s="24"/>
      <c r="C815" s="24"/>
      <c r="Q815" s="40"/>
      <c r="R815" s="40"/>
      <c r="S815" s="40"/>
      <c r="T815" s="40"/>
      <c r="U815" s="40"/>
      <c r="V815" s="40"/>
      <c r="W815" s="40"/>
    </row>
    <row r="816" ht="12.75" customHeight="1">
      <c r="B816" s="24"/>
      <c r="C816" s="24"/>
      <c r="Q816" s="40"/>
      <c r="R816" s="40"/>
      <c r="S816" s="40"/>
      <c r="T816" s="40"/>
      <c r="U816" s="40"/>
      <c r="V816" s="40"/>
      <c r="W816" s="40"/>
    </row>
    <row r="817" ht="12.75" customHeight="1">
      <c r="B817" s="24"/>
      <c r="C817" s="24"/>
      <c r="Q817" s="40"/>
      <c r="R817" s="40"/>
      <c r="S817" s="40"/>
      <c r="T817" s="40"/>
      <c r="U817" s="40"/>
      <c r="V817" s="40"/>
      <c r="W817" s="40"/>
    </row>
    <row r="818" ht="12.75" customHeight="1">
      <c r="B818" s="24"/>
      <c r="C818" s="24"/>
      <c r="Q818" s="40"/>
      <c r="R818" s="40"/>
      <c r="S818" s="40"/>
      <c r="T818" s="40"/>
      <c r="U818" s="40"/>
      <c r="V818" s="40"/>
      <c r="W818" s="40"/>
    </row>
    <row r="819" ht="12.75" customHeight="1">
      <c r="B819" s="24"/>
      <c r="C819" s="24"/>
      <c r="Q819" s="40"/>
      <c r="R819" s="40"/>
      <c r="S819" s="40"/>
      <c r="T819" s="40"/>
      <c r="U819" s="40"/>
      <c r="V819" s="40"/>
      <c r="W819" s="40"/>
    </row>
    <row r="820" ht="12.75" customHeight="1">
      <c r="B820" s="24"/>
      <c r="C820" s="24"/>
      <c r="Q820" s="40"/>
      <c r="R820" s="40"/>
      <c r="S820" s="40"/>
      <c r="T820" s="40"/>
      <c r="U820" s="40"/>
      <c r="V820" s="40"/>
      <c r="W820" s="40"/>
    </row>
    <row r="821" ht="12.75" customHeight="1">
      <c r="B821" s="24"/>
      <c r="C821" s="24"/>
      <c r="Q821" s="40"/>
      <c r="R821" s="40"/>
      <c r="S821" s="40"/>
      <c r="T821" s="40"/>
      <c r="U821" s="40"/>
      <c r="V821" s="40"/>
      <c r="W821" s="40"/>
    </row>
    <row r="822" ht="12.75" customHeight="1">
      <c r="B822" s="24"/>
      <c r="C822" s="24"/>
      <c r="Q822" s="40"/>
      <c r="R822" s="40"/>
      <c r="S822" s="40"/>
      <c r="T822" s="40"/>
      <c r="U822" s="40"/>
      <c r="V822" s="40"/>
      <c r="W822" s="40"/>
    </row>
    <row r="823" ht="12.75" customHeight="1">
      <c r="B823" s="24"/>
      <c r="C823" s="24"/>
      <c r="Q823" s="40"/>
      <c r="R823" s="40"/>
      <c r="S823" s="40"/>
      <c r="T823" s="40"/>
      <c r="U823" s="40"/>
      <c r="V823" s="40"/>
      <c r="W823" s="40"/>
    </row>
    <row r="824" ht="12.75" customHeight="1">
      <c r="B824" s="24"/>
      <c r="C824" s="24"/>
      <c r="Q824" s="40"/>
      <c r="R824" s="40"/>
      <c r="S824" s="40"/>
      <c r="T824" s="40"/>
      <c r="U824" s="40"/>
      <c r="V824" s="40"/>
      <c r="W824" s="40"/>
    </row>
    <row r="825" ht="12.75" customHeight="1">
      <c r="B825" s="24"/>
      <c r="C825" s="24"/>
      <c r="Q825" s="40"/>
      <c r="R825" s="40"/>
      <c r="S825" s="40"/>
      <c r="T825" s="40"/>
      <c r="U825" s="40"/>
      <c r="V825" s="40"/>
      <c r="W825" s="40"/>
    </row>
    <row r="826" ht="12.75" customHeight="1">
      <c r="B826" s="24"/>
      <c r="C826" s="24"/>
      <c r="Q826" s="40"/>
      <c r="R826" s="40"/>
      <c r="S826" s="40"/>
      <c r="T826" s="40"/>
      <c r="U826" s="40"/>
      <c r="V826" s="40"/>
      <c r="W826" s="40"/>
    </row>
    <row r="827" ht="12.75" customHeight="1">
      <c r="B827" s="24"/>
      <c r="C827" s="24"/>
      <c r="Q827" s="40"/>
      <c r="R827" s="40"/>
      <c r="S827" s="40"/>
      <c r="T827" s="40"/>
      <c r="U827" s="40"/>
      <c r="V827" s="40"/>
      <c r="W827" s="40"/>
    </row>
    <row r="828" ht="12.75" customHeight="1">
      <c r="B828" s="24"/>
      <c r="C828" s="24"/>
      <c r="Q828" s="40"/>
      <c r="R828" s="40"/>
      <c r="S828" s="40"/>
      <c r="T828" s="40"/>
      <c r="U828" s="40"/>
      <c r="V828" s="40"/>
      <c r="W828" s="40"/>
    </row>
    <row r="829" ht="12.75" customHeight="1">
      <c r="B829" s="24"/>
      <c r="C829" s="24"/>
      <c r="Q829" s="40"/>
      <c r="R829" s="40"/>
      <c r="S829" s="40"/>
      <c r="T829" s="40"/>
      <c r="U829" s="40"/>
      <c r="V829" s="40"/>
      <c r="W829" s="40"/>
    </row>
    <row r="830" ht="12.75" customHeight="1">
      <c r="B830" s="24"/>
      <c r="C830" s="24"/>
      <c r="Q830" s="40"/>
      <c r="R830" s="40"/>
      <c r="S830" s="40"/>
      <c r="T830" s="40"/>
      <c r="U830" s="40"/>
      <c r="V830" s="40"/>
      <c r="W830" s="40"/>
    </row>
    <row r="831" ht="12.75" customHeight="1">
      <c r="B831" s="24"/>
      <c r="C831" s="24"/>
      <c r="Q831" s="40"/>
      <c r="R831" s="40"/>
      <c r="S831" s="40"/>
      <c r="T831" s="40"/>
      <c r="U831" s="40"/>
      <c r="V831" s="40"/>
      <c r="W831" s="40"/>
    </row>
    <row r="832" ht="12.75" customHeight="1">
      <c r="B832" s="24"/>
      <c r="C832" s="24"/>
      <c r="Q832" s="40"/>
      <c r="R832" s="40"/>
      <c r="S832" s="40"/>
      <c r="T832" s="40"/>
      <c r="U832" s="40"/>
      <c r="V832" s="40"/>
      <c r="W832" s="40"/>
    </row>
    <row r="833" ht="12.75" customHeight="1">
      <c r="B833" s="24"/>
      <c r="C833" s="24"/>
      <c r="Q833" s="40"/>
      <c r="R833" s="40"/>
      <c r="S833" s="40"/>
      <c r="T833" s="40"/>
      <c r="U833" s="40"/>
      <c r="V833" s="40"/>
      <c r="W833" s="40"/>
    </row>
    <row r="834" ht="12.75" customHeight="1">
      <c r="B834" s="24"/>
      <c r="C834" s="24"/>
      <c r="Q834" s="40"/>
      <c r="R834" s="40"/>
      <c r="S834" s="40"/>
      <c r="T834" s="40"/>
      <c r="U834" s="40"/>
      <c r="V834" s="40"/>
      <c r="W834" s="40"/>
    </row>
    <row r="835" ht="12.75" customHeight="1">
      <c r="B835" s="24"/>
      <c r="C835" s="24"/>
      <c r="Q835" s="40"/>
      <c r="R835" s="40"/>
      <c r="S835" s="40"/>
      <c r="T835" s="40"/>
      <c r="U835" s="40"/>
      <c r="V835" s="40"/>
      <c r="W835" s="40"/>
    </row>
    <row r="836" ht="12.75" customHeight="1">
      <c r="B836" s="24"/>
      <c r="C836" s="24"/>
      <c r="Q836" s="40"/>
      <c r="R836" s="40"/>
      <c r="S836" s="40"/>
      <c r="T836" s="40"/>
      <c r="U836" s="40"/>
      <c r="V836" s="40"/>
      <c r="W836" s="40"/>
    </row>
    <row r="837" ht="12.75" customHeight="1">
      <c r="B837" s="24"/>
      <c r="C837" s="24"/>
      <c r="Q837" s="40"/>
      <c r="R837" s="40"/>
      <c r="S837" s="40"/>
      <c r="T837" s="40"/>
      <c r="U837" s="40"/>
      <c r="V837" s="40"/>
      <c r="W837" s="40"/>
    </row>
    <row r="838" ht="12.75" customHeight="1">
      <c r="B838" s="24"/>
      <c r="C838" s="24"/>
      <c r="Q838" s="40"/>
      <c r="R838" s="40"/>
      <c r="S838" s="40"/>
      <c r="T838" s="40"/>
      <c r="U838" s="40"/>
      <c r="V838" s="40"/>
      <c r="W838" s="40"/>
    </row>
    <row r="839" ht="12.75" customHeight="1">
      <c r="B839" s="24"/>
      <c r="C839" s="24"/>
      <c r="Q839" s="40"/>
      <c r="R839" s="40"/>
      <c r="S839" s="40"/>
      <c r="T839" s="40"/>
      <c r="U839" s="40"/>
      <c r="V839" s="40"/>
      <c r="W839" s="40"/>
    </row>
    <row r="840" ht="12.75" customHeight="1">
      <c r="B840" s="24"/>
      <c r="C840" s="24"/>
      <c r="Q840" s="40"/>
      <c r="R840" s="40"/>
      <c r="S840" s="40"/>
      <c r="T840" s="40"/>
      <c r="U840" s="40"/>
      <c r="V840" s="40"/>
      <c r="W840" s="40"/>
    </row>
    <row r="841" ht="12.75" customHeight="1">
      <c r="B841" s="24"/>
      <c r="C841" s="24"/>
      <c r="Q841" s="40"/>
      <c r="R841" s="40"/>
      <c r="S841" s="40"/>
      <c r="T841" s="40"/>
      <c r="U841" s="40"/>
      <c r="V841" s="40"/>
      <c r="W841" s="40"/>
    </row>
    <row r="842" ht="12.75" customHeight="1">
      <c r="B842" s="24"/>
      <c r="C842" s="24"/>
      <c r="Q842" s="40"/>
      <c r="R842" s="40"/>
      <c r="S842" s="40"/>
      <c r="T842" s="40"/>
      <c r="U842" s="40"/>
      <c r="V842" s="40"/>
      <c r="W842" s="40"/>
    </row>
    <row r="843" ht="12.75" customHeight="1">
      <c r="B843" s="24"/>
      <c r="C843" s="24"/>
      <c r="Q843" s="40"/>
      <c r="R843" s="40"/>
      <c r="S843" s="40"/>
      <c r="T843" s="40"/>
      <c r="U843" s="40"/>
      <c r="V843" s="40"/>
      <c r="W843" s="40"/>
    </row>
    <row r="844" ht="12.75" customHeight="1">
      <c r="B844" s="24"/>
      <c r="C844" s="24"/>
      <c r="Q844" s="40"/>
      <c r="R844" s="40"/>
      <c r="S844" s="40"/>
      <c r="T844" s="40"/>
      <c r="U844" s="40"/>
      <c r="V844" s="40"/>
      <c r="W844" s="40"/>
    </row>
    <row r="845" ht="12.75" customHeight="1">
      <c r="B845" s="24"/>
      <c r="C845" s="24"/>
      <c r="Q845" s="40"/>
      <c r="R845" s="40"/>
      <c r="S845" s="40"/>
      <c r="T845" s="40"/>
      <c r="U845" s="40"/>
      <c r="V845" s="40"/>
      <c r="W845" s="40"/>
    </row>
    <row r="846" ht="12.75" customHeight="1">
      <c r="B846" s="24"/>
      <c r="C846" s="24"/>
      <c r="Q846" s="40"/>
      <c r="R846" s="40"/>
      <c r="S846" s="40"/>
      <c r="T846" s="40"/>
      <c r="U846" s="40"/>
      <c r="V846" s="40"/>
      <c r="W846" s="40"/>
    </row>
    <row r="847" ht="12.75" customHeight="1">
      <c r="B847" s="24"/>
      <c r="C847" s="24"/>
      <c r="Q847" s="40"/>
      <c r="R847" s="40"/>
      <c r="S847" s="40"/>
      <c r="T847" s="40"/>
      <c r="U847" s="40"/>
      <c r="V847" s="40"/>
      <c r="W847" s="40"/>
    </row>
    <row r="848" ht="12.75" customHeight="1">
      <c r="B848" s="24"/>
      <c r="C848" s="24"/>
      <c r="Q848" s="40"/>
      <c r="R848" s="40"/>
      <c r="S848" s="40"/>
      <c r="T848" s="40"/>
      <c r="U848" s="40"/>
      <c r="V848" s="40"/>
      <c r="W848" s="40"/>
    </row>
    <row r="849" ht="12.75" customHeight="1">
      <c r="B849" s="24"/>
      <c r="C849" s="24"/>
      <c r="Q849" s="40"/>
      <c r="R849" s="40"/>
      <c r="S849" s="40"/>
      <c r="T849" s="40"/>
      <c r="U849" s="40"/>
      <c r="V849" s="40"/>
      <c r="W849" s="40"/>
    </row>
    <row r="850" ht="12.75" customHeight="1">
      <c r="B850" s="24"/>
      <c r="C850" s="24"/>
      <c r="Q850" s="40"/>
      <c r="R850" s="40"/>
      <c r="S850" s="40"/>
      <c r="T850" s="40"/>
      <c r="U850" s="40"/>
      <c r="V850" s="40"/>
      <c r="W850" s="40"/>
    </row>
    <row r="851" ht="12.75" customHeight="1">
      <c r="B851" s="24"/>
      <c r="C851" s="24"/>
      <c r="Q851" s="40"/>
      <c r="R851" s="40"/>
      <c r="S851" s="40"/>
      <c r="T851" s="40"/>
      <c r="U851" s="40"/>
      <c r="V851" s="40"/>
      <c r="W851" s="40"/>
    </row>
    <row r="852" ht="12.75" customHeight="1">
      <c r="B852" s="24"/>
      <c r="C852" s="24"/>
      <c r="Q852" s="40"/>
      <c r="R852" s="40"/>
      <c r="S852" s="40"/>
      <c r="T852" s="40"/>
      <c r="U852" s="40"/>
      <c r="V852" s="40"/>
      <c r="W852" s="40"/>
    </row>
    <row r="853" ht="12.75" customHeight="1">
      <c r="B853" s="24"/>
      <c r="C853" s="24"/>
      <c r="Q853" s="40"/>
      <c r="R853" s="40"/>
      <c r="S853" s="40"/>
      <c r="T853" s="40"/>
      <c r="U853" s="40"/>
      <c r="V853" s="40"/>
      <c r="W853" s="40"/>
    </row>
    <row r="854" ht="12.75" customHeight="1">
      <c r="B854" s="24"/>
      <c r="C854" s="24"/>
      <c r="Q854" s="40"/>
      <c r="R854" s="40"/>
      <c r="S854" s="40"/>
      <c r="T854" s="40"/>
      <c r="U854" s="40"/>
      <c r="V854" s="40"/>
      <c r="W854" s="40"/>
    </row>
    <row r="855" ht="12.75" customHeight="1">
      <c r="B855" s="24"/>
      <c r="C855" s="24"/>
      <c r="Q855" s="40"/>
      <c r="R855" s="40"/>
      <c r="S855" s="40"/>
      <c r="T855" s="40"/>
      <c r="U855" s="40"/>
      <c r="V855" s="40"/>
      <c r="W855" s="40"/>
    </row>
    <row r="856" ht="12.75" customHeight="1">
      <c r="B856" s="24"/>
      <c r="C856" s="24"/>
      <c r="Q856" s="40"/>
      <c r="R856" s="40"/>
      <c r="S856" s="40"/>
      <c r="T856" s="40"/>
      <c r="U856" s="40"/>
      <c r="V856" s="40"/>
      <c r="W856" s="40"/>
    </row>
    <row r="857" ht="12.75" customHeight="1">
      <c r="B857" s="24"/>
      <c r="C857" s="24"/>
      <c r="Q857" s="40"/>
      <c r="R857" s="40"/>
      <c r="S857" s="40"/>
      <c r="T857" s="40"/>
      <c r="U857" s="40"/>
      <c r="V857" s="40"/>
      <c r="W857" s="40"/>
    </row>
    <row r="858" ht="12.75" customHeight="1">
      <c r="B858" s="24"/>
      <c r="C858" s="24"/>
      <c r="Q858" s="40"/>
      <c r="R858" s="40"/>
      <c r="S858" s="40"/>
      <c r="T858" s="40"/>
      <c r="U858" s="40"/>
      <c r="V858" s="40"/>
      <c r="W858" s="40"/>
    </row>
    <row r="859" ht="12.75" customHeight="1">
      <c r="B859" s="24"/>
      <c r="C859" s="24"/>
      <c r="Q859" s="40"/>
      <c r="R859" s="40"/>
      <c r="S859" s="40"/>
      <c r="T859" s="40"/>
      <c r="U859" s="40"/>
      <c r="V859" s="40"/>
      <c r="W859" s="40"/>
    </row>
    <row r="860" ht="12.75" customHeight="1">
      <c r="B860" s="24"/>
      <c r="C860" s="24"/>
      <c r="Q860" s="40"/>
      <c r="R860" s="40"/>
      <c r="S860" s="40"/>
      <c r="T860" s="40"/>
      <c r="U860" s="40"/>
      <c r="V860" s="40"/>
      <c r="W860" s="40"/>
    </row>
    <row r="861" ht="12.75" customHeight="1">
      <c r="B861" s="24"/>
      <c r="C861" s="24"/>
      <c r="Q861" s="40"/>
      <c r="R861" s="40"/>
      <c r="S861" s="40"/>
      <c r="T861" s="40"/>
      <c r="U861" s="40"/>
      <c r="V861" s="40"/>
      <c r="W861" s="40"/>
    </row>
    <row r="862" ht="12.75" customHeight="1">
      <c r="B862" s="24"/>
      <c r="C862" s="24"/>
      <c r="Q862" s="40"/>
      <c r="R862" s="40"/>
      <c r="S862" s="40"/>
      <c r="T862" s="40"/>
      <c r="U862" s="40"/>
      <c r="V862" s="40"/>
      <c r="W862" s="40"/>
    </row>
    <row r="863" ht="12.75" customHeight="1">
      <c r="B863" s="24"/>
      <c r="C863" s="24"/>
      <c r="Q863" s="40"/>
      <c r="R863" s="40"/>
      <c r="S863" s="40"/>
      <c r="T863" s="40"/>
      <c r="U863" s="40"/>
      <c r="V863" s="40"/>
      <c r="W863" s="40"/>
    </row>
    <row r="864" ht="12.75" customHeight="1">
      <c r="B864" s="24"/>
      <c r="C864" s="24"/>
      <c r="Q864" s="40"/>
      <c r="R864" s="40"/>
      <c r="S864" s="40"/>
      <c r="T864" s="40"/>
      <c r="U864" s="40"/>
      <c r="V864" s="40"/>
      <c r="W864" s="40"/>
    </row>
    <row r="865" ht="12.75" customHeight="1">
      <c r="B865" s="24"/>
      <c r="C865" s="24"/>
      <c r="Q865" s="40"/>
      <c r="R865" s="40"/>
      <c r="S865" s="40"/>
      <c r="T865" s="40"/>
      <c r="U865" s="40"/>
      <c r="V865" s="40"/>
      <c r="W865" s="40"/>
    </row>
    <row r="866" ht="12.75" customHeight="1">
      <c r="B866" s="24"/>
      <c r="C866" s="24"/>
      <c r="Q866" s="40"/>
      <c r="R866" s="40"/>
      <c r="S866" s="40"/>
      <c r="T866" s="40"/>
      <c r="U866" s="40"/>
      <c r="V866" s="40"/>
      <c r="W866" s="40"/>
    </row>
    <row r="867" ht="12.75" customHeight="1">
      <c r="B867" s="24"/>
      <c r="C867" s="24"/>
      <c r="Q867" s="40"/>
      <c r="R867" s="40"/>
      <c r="S867" s="40"/>
      <c r="T867" s="40"/>
      <c r="U867" s="40"/>
      <c r="V867" s="40"/>
      <c r="W867" s="40"/>
    </row>
    <row r="868" ht="12.75" customHeight="1">
      <c r="B868" s="24"/>
      <c r="C868" s="24"/>
      <c r="Q868" s="40"/>
      <c r="R868" s="40"/>
      <c r="S868" s="40"/>
      <c r="T868" s="40"/>
      <c r="U868" s="40"/>
      <c r="V868" s="40"/>
      <c r="W868" s="40"/>
    </row>
    <row r="869" ht="12.75" customHeight="1">
      <c r="B869" s="24"/>
      <c r="C869" s="24"/>
      <c r="Q869" s="40"/>
      <c r="R869" s="40"/>
      <c r="S869" s="40"/>
      <c r="T869" s="40"/>
      <c r="U869" s="40"/>
      <c r="V869" s="40"/>
      <c r="W869" s="40"/>
    </row>
    <row r="870" ht="12.75" customHeight="1">
      <c r="B870" s="24"/>
      <c r="C870" s="24"/>
      <c r="Q870" s="40"/>
      <c r="R870" s="40"/>
      <c r="S870" s="40"/>
      <c r="T870" s="40"/>
      <c r="U870" s="40"/>
      <c r="V870" s="40"/>
      <c r="W870" s="40"/>
    </row>
    <row r="871" ht="12.75" customHeight="1">
      <c r="B871" s="24"/>
      <c r="C871" s="24"/>
      <c r="Q871" s="40"/>
      <c r="R871" s="40"/>
      <c r="S871" s="40"/>
      <c r="T871" s="40"/>
      <c r="U871" s="40"/>
      <c r="V871" s="40"/>
      <c r="W871" s="40"/>
    </row>
    <row r="872" ht="12.75" customHeight="1">
      <c r="B872" s="24"/>
      <c r="C872" s="24"/>
      <c r="Q872" s="40"/>
      <c r="R872" s="40"/>
      <c r="S872" s="40"/>
      <c r="T872" s="40"/>
      <c r="U872" s="40"/>
      <c r="V872" s="40"/>
      <c r="W872" s="40"/>
    </row>
    <row r="873" ht="12.75" customHeight="1">
      <c r="B873" s="24"/>
      <c r="C873" s="24"/>
      <c r="Q873" s="40"/>
      <c r="R873" s="40"/>
      <c r="S873" s="40"/>
      <c r="T873" s="40"/>
      <c r="U873" s="40"/>
      <c r="V873" s="40"/>
      <c r="W873" s="40"/>
    </row>
    <row r="874" ht="12.75" customHeight="1">
      <c r="B874" s="24"/>
      <c r="C874" s="24"/>
      <c r="Q874" s="40"/>
      <c r="R874" s="40"/>
      <c r="S874" s="40"/>
      <c r="T874" s="40"/>
      <c r="U874" s="40"/>
      <c r="V874" s="40"/>
      <c r="W874" s="40"/>
    </row>
    <row r="875" ht="12.75" customHeight="1">
      <c r="B875" s="24"/>
      <c r="C875" s="24"/>
      <c r="Q875" s="40"/>
      <c r="R875" s="40"/>
      <c r="S875" s="40"/>
      <c r="T875" s="40"/>
      <c r="U875" s="40"/>
      <c r="V875" s="40"/>
      <c r="W875" s="40"/>
    </row>
    <row r="876" ht="12.75" customHeight="1">
      <c r="B876" s="24"/>
      <c r="C876" s="24"/>
      <c r="Q876" s="40"/>
      <c r="R876" s="40"/>
      <c r="S876" s="40"/>
      <c r="T876" s="40"/>
      <c r="U876" s="40"/>
      <c r="V876" s="40"/>
      <c r="W876" s="40"/>
    </row>
    <row r="877" ht="12.75" customHeight="1">
      <c r="B877" s="24"/>
      <c r="C877" s="24"/>
      <c r="Q877" s="40"/>
      <c r="R877" s="40"/>
      <c r="S877" s="40"/>
      <c r="T877" s="40"/>
      <c r="U877" s="40"/>
      <c r="V877" s="40"/>
      <c r="W877" s="40"/>
    </row>
    <row r="878" ht="12.75" customHeight="1">
      <c r="B878" s="24"/>
      <c r="C878" s="24"/>
      <c r="Q878" s="40"/>
      <c r="R878" s="40"/>
      <c r="S878" s="40"/>
      <c r="T878" s="40"/>
      <c r="U878" s="40"/>
      <c r="V878" s="40"/>
      <c r="W878" s="40"/>
    </row>
    <row r="879" ht="12.75" customHeight="1">
      <c r="B879" s="24"/>
      <c r="C879" s="24"/>
      <c r="Q879" s="40"/>
      <c r="R879" s="40"/>
      <c r="S879" s="40"/>
      <c r="T879" s="40"/>
      <c r="U879" s="40"/>
      <c r="V879" s="40"/>
      <c r="W879" s="40"/>
    </row>
    <row r="880" ht="12.75" customHeight="1">
      <c r="B880" s="24"/>
      <c r="C880" s="24"/>
      <c r="Q880" s="40"/>
      <c r="R880" s="40"/>
      <c r="S880" s="40"/>
      <c r="T880" s="40"/>
      <c r="U880" s="40"/>
      <c r="V880" s="40"/>
      <c r="W880" s="40"/>
    </row>
    <row r="881" ht="12.75" customHeight="1">
      <c r="B881" s="24"/>
      <c r="C881" s="24"/>
      <c r="Q881" s="40"/>
      <c r="R881" s="40"/>
      <c r="S881" s="40"/>
      <c r="T881" s="40"/>
      <c r="U881" s="40"/>
      <c r="V881" s="40"/>
      <c r="W881" s="40"/>
    </row>
    <row r="882" ht="12.75" customHeight="1">
      <c r="B882" s="24"/>
      <c r="C882" s="24"/>
      <c r="Q882" s="40"/>
      <c r="R882" s="40"/>
      <c r="S882" s="40"/>
      <c r="T882" s="40"/>
      <c r="U882" s="40"/>
      <c r="V882" s="40"/>
      <c r="W882" s="40"/>
    </row>
    <row r="883" ht="12.75" customHeight="1">
      <c r="B883" s="24"/>
      <c r="C883" s="24"/>
      <c r="Q883" s="40"/>
      <c r="R883" s="40"/>
      <c r="S883" s="40"/>
      <c r="T883" s="40"/>
      <c r="U883" s="40"/>
      <c r="V883" s="40"/>
      <c r="W883" s="40"/>
    </row>
    <row r="884" ht="12.75" customHeight="1">
      <c r="B884" s="24"/>
      <c r="C884" s="24"/>
      <c r="Q884" s="40"/>
      <c r="R884" s="40"/>
      <c r="S884" s="40"/>
      <c r="T884" s="40"/>
      <c r="U884" s="40"/>
      <c r="V884" s="40"/>
      <c r="W884" s="40"/>
    </row>
    <row r="885" ht="12.75" customHeight="1">
      <c r="B885" s="24"/>
      <c r="C885" s="24"/>
      <c r="Q885" s="40"/>
      <c r="R885" s="40"/>
      <c r="S885" s="40"/>
      <c r="T885" s="40"/>
      <c r="U885" s="40"/>
      <c r="V885" s="40"/>
      <c r="W885" s="40"/>
    </row>
    <row r="886" ht="12.75" customHeight="1">
      <c r="B886" s="24"/>
      <c r="C886" s="24"/>
      <c r="Q886" s="40"/>
      <c r="R886" s="40"/>
      <c r="S886" s="40"/>
      <c r="T886" s="40"/>
      <c r="U886" s="40"/>
      <c r="V886" s="40"/>
      <c r="W886" s="40"/>
    </row>
    <row r="887" ht="12.75" customHeight="1">
      <c r="B887" s="24"/>
      <c r="C887" s="24"/>
      <c r="Q887" s="40"/>
      <c r="R887" s="40"/>
      <c r="S887" s="40"/>
      <c r="T887" s="40"/>
      <c r="U887" s="40"/>
      <c r="V887" s="40"/>
      <c r="W887" s="40"/>
    </row>
    <row r="888" ht="12.75" customHeight="1">
      <c r="B888" s="24"/>
      <c r="C888" s="24"/>
      <c r="Q888" s="40"/>
      <c r="R888" s="40"/>
      <c r="S888" s="40"/>
      <c r="T888" s="40"/>
      <c r="U888" s="40"/>
      <c r="V888" s="40"/>
      <c r="W888" s="40"/>
    </row>
    <row r="889" ht="12.75" customHeight="1">
      <c r="B889" s="24"/>
      <c r="C889" s="24"/>
      <c r="Q889" s="40"/>
      <c r="R889" s="40"/>
      <c r="S889" s="40"/>
      <c r="T889" s="40"/>
      <c r="U889" s="40"/>
      <c r="V889" s="40"/>
      <c r="W889" s="40"/>
    </row>
    <row r="890" ht="12.75" customHeight="1">
      <c r="B890" s="24"/>
      <c r="C890" s="24"/>
      <c r="Q890" s="40"/>
      <c r="R890" s="40"/>
      <c r="S890" s="40"/>
      <c r="T890" s="40"/>
      <c r="U890" s="40"/>
      <c r="V890" s="40"/>
      <c r="W890" s="40"/>
    </row>
    <row r="891" ht="12.75" customHeight="1">
      <c r="B891" s="24"/>
      <c r="C891" s="24"/>
      <c r="Q891" s="40"/>
      <c r="R891" s="40"/>
      <c r="S891" s="40"/>
      <c r="T891" s="40"/>
      <c r="U891" s="40"/>
      <c r="V891" s="40"/>
      <c r="W891" s="40"/>
    </row>
    <row r="892" ht="12.75" customHeight="1">
      <c r="B892" s="24"/>
      <c r="C892" s="24"/>
      <c r="Q892" s="40"/>
      <c r="R892" s="40"/>
      <c r="S892" s="40"/>
      <c r="T892" s="40"/>
      <c r="U892" s="40"/>
      <c r="V892" s="40"/>
      <c r="W892" s="40"/>
    </row>
    <row r="893" ht="12.75" customHeight="1">
      <c r="B893" s="24"/>
      <c r="C893" s="24"/>
      <c r="Q893" s="40"/>
      <c r="R893" s="40"/>
      <c r="S893" s="40"/>
      <c r="T893" s="40"/>
      <c r="U893" s="40"/>
      <c r="V893" s="40"/>
      <c r="W893" s="40"/>
    </row>
    <row r="894" ht="12.75" customHeight="1">
      <c r="B894" s="24"/>
      <c r="C894" s="24"/>
      <c r="Q894" s="40"/>
      <c r="R894" s="40"/>
      <c r="S894" s="40"/>
      <c r="T894" s="40"/>
      <c r="U894" s="40"/>
      <c r="V894" s="40"/>
      <c r="W894" s="40"/>
    </row>
    <row r="895" ht="12.75" customHeight="1">
      <c r="B895" s="24"/>
      <c r="C895" s="24"/>
      <c r="Q895" s="40"/>
      <c r="R895" s="40"/>
      <c r="S895" s="40"/>
      <c r="T895" s="40"/>
      <c r="U895" s="40"/>
      <c r="V895" s="40"/>
      <c r="W895" s="40"/>
    </row>
    <row r="896" ht="12.75" customHeight="1">
      <c r="B896" s="24"/>
      <c r="C896" s="24"/>
      <c r="Q896" s="40"/>
      <c r="R896" s="40"/>
      <c r="S896" s="40"/>
      <c r="T896" s="40"/>
      <c r="U896" s="40"/>
      <c r="V896" s="40"/>
      <c r="W896" s="40"/>
    </row>
    <row r="897" ht="12.75" customHeight="1">
      <c r="B897" s="24"/>
      <c r="C897" s="24"/>
      <c r="Q897" s="40"/>
      <c r="R897" s="40"/>
      <c r="S897" s="40"/>
      <c r="T897" s="40"/>
      <c r="U897" s="40"/>
      <c r="V897" s="40"/>
      <c r="W897" s="40"/>
    </row>
    <row r="898" ht="12.75" customHeight="1">
      <c r="B898" s="24"/>
      <c r="C898" s="24"/>
      <c r="Q898" s="40"/>
      <c r="R898" s="40"/>
      <c r="S898" s="40"/>
      <c r="T898" s="40"/>
      <c r="U898" s="40"/>
      <c r="V898" s="40"/>
      <c r="W898" s="40"/>
    </row>
    <row r="899" ht="12.75" customHeight="1">
      <c r="B899" s="24"/>
      <c r="C899" s="24"/>
      <c r="Q899" s="40"/>
      <c r="R899" s="40"/>
      <c r="S899" s="40"/>
      <c r="T899" s="40"/>
      <c r="U899" s="40"/>
      <c r="V899" s="40"/>
      <c r="W899" s="40"/>
    </row>
    <row r="900" ht="12.75" customHeight="1">
      <c r="B900" s="24"/>
      <c r="C900" s="24"/>
      <c r="Q900" s="40"/>
      <c r="R900" s="40"/>
      <c r="S900" s="40"/>
      <c r="T900" s="40"/>
      <c r="U900" s="40"/>
      <c r="V900" s="40"/>
      <c r="W900" s="40"/>
    </row>
    <row r="901" ht="12.75" customHeight="1">
      <c r="B901" s="24"/>
      <c r="C901" s="24"/>
      <c r="Q901" s="40"/>
      <c r="R901" s="40"/>
      <c r="S901" s="40"/>
      <c r="T901" s="40"/>
      <c r="U901" s="40"/>
      <c r="V901" s="40"/>
      <c r="W901" s="40"/>
    </row>
    <row r="902" ht="12.75" customHeight="1">
      <c r="B902" s="24"/>
      <c r="C902" s="24"/>
      <c r="Q902" s="40"/>
      <c r="R902" s="40"/>
      <c r="S902" s="40"/>
      <c r="T902" s="40"/>
      <c r="U902" s="40"/>
      <c r="V902" s="40"/>
      <c r="W902" s="40"/>
    </row>
    <row r="903" ht="12.75" customHeight="1">
      <c r="B903" s="24"/>
      <c r="C903" s="24"/>
      <c r="Q903" s="40"/>
      <c r="R903" s="40"/>
      <c r="S903" s="40"/>
      <c r="T903" s="40"/>
      <c r="U903" s="40"/>
      <c r="V903" s="40"/>
      <c r="W903" s="40"/>
    </row>
    <row r="904" ht="12.75" customHeight="1">
      <c r="B904" s="24"/>
      <c r="C904" s="24"/>
      <c r="Q904" s="40"/>
      <c r="R904" s="40"/>
      <c r="S904" s="40"/>
      <c r="T904" s="40"/>
      <c r="U904" s="40"/>
      <c r="V904" s="40"/>
      <c r="W904" s="40"/>
    </row>
    <row r="905" ht="12.75" customHeight="1">
      <c r="B905" s="24"/>
      <c r="C905" s="24"/>
      <c r="Q905" s="40"/>
      <c r="R905" s="40"/>
      <c r="S905" s="40"/>
      <c r="T905" s="40"/>
      <c r="U905" s="40"/>
      <c r="V905" s="40"/>
      <c r="W905" s="40"/>
    </row>
    <row r="906" ht="12.75" customHeight="1">
      <c r="B906" s="24"/>
      <c r="C906" s="24"/>
      <c r="Q906" s="40"/>
      <c r="R906" s="40"/>
      <c r="S906" s="40"/>
      <c r="T906" s="40"/>
      <c r="U906" s="40"/>
      <c r="V906" s="40"/>
      <c r="W906" s="40"/>
    </row>
    <row r="907" ht="12.75" customHeight="1">
      <c r="B907" s="24"/>
      <c r="C907" s="24"/>
      <c r="Q907" s="40"/>
      <c r="R907" s="40"/>
      <c r="S907" s="40"/>
      <c r="T907" s="40"/>
      <c r="U907" s="40"/>
      <c r="V907" s="40"/>
      <c r="W907" s="40"/>
    </row>
    <row r="908" ht="12.75" customHeight="1">
      <c r="B908" s="24"/>
      <c r="C908" s="24"/>
      <c r="Q908" s="40"/>
      <c r="R908" s="40"/>
      <c r="S908" s="40"/>
      <c r="T908" s="40"/>
      <c r="U908" s="40"/>
      <c r="V908" s="40"/>
      <c r="W908" s="40"/>
    </row>
    <row r="909" ht="12.75" customHeight="1">
      <c r="B909" s="24"/>
      <c r="C909" s="24"/>
      <c r="Q909" s="40"/>
      <c r="R909" s="40"/>
      <c r="S909" s="40"/>
      <c r="T909" s="40"/>
      <c r="U909" s="40"/>
      <c r="V909" s="40"/>
      <c r="W909" s="40"/>
    </row>
    <row r="910" ht="12.75" customHeight="1">
      <c r="B910" s="24"/>
      <c r="C910" s="24"/>
      <c r="Q910" s="40"/>
      <c r="R910" s="40"/>
      <c r="S910" s="40"/>
      <c r="T910" s="40"/>
      <c r="U910" s="40"/>
      <c r="V910" s="40"/>
      <c r="W910" s="40"/>
    </row>
    <row r="911" ht="12.75" customHeight="1">
      <c r="B911" s="24"/>
      <c r="C911" s="24"/>
      <c r="Q911" s="40"/>
      <c r="R911" s="40"/>
      <c r="S911" s="40"/>
      <c r="T911" s="40"/>
      <c r="U911" s="40"/>
      <c r="V911" s="40"/>
      <c r="W911" s="40"/>
    </row>
    <row r="912" ht="12.75" customHeight="1">
      <c r="B912" s="24"/>
      <c r="C912" s="24"/>
      <c r="Q912" s="40"/>
      <c r="R912" s="40"/>
      <c r="S912" s="40"/>
      <c r="T912" s="40"/>
      <c r="U912" s="40"/>
      <c r="V912" s="40"/>
      <c r="W912" s="40"/>
    </row>
    <row r="913" ht="12.75" customHeight="1">
      <c r="B913" s="24"/>
      <c r="C913" s="24"/>
      <c r="Q913" s="40"/>
      <c r="R913" s="40"/>
      <c r="S913" s="40"/>
      <c r="T913" s="40"/>
      <c r="U913" s="40"/>
      <c r="V913" s="40"/>
      <c r="W913" s="40"/>
    </row>
    <row r="914" ht="12.75" customHeight="1">
      <c r="B914" s="24"/>
      <c r="C914" s="24"/>
      <c r="Q914" s="40"/>
      <c r="R914" s="40"/>
      <c r="S914" s="40"/>
      <c r="T914" s="40"/>
      <c r="U914" s="40"/>
      <c r="V914" s="40"/>
      <c r="W914" s="40"/>
    </row>
    <row r="915" ht="12.75" customHeight="1">
      <c r="B915" s="24"/>
      <c r="C915" s="24"/>
      <c r="Q915" s="40"/>
      <c r="R915" s="40"/>
      <c r="S915" s="40"/>
      <c r="T915" s="40"/>
      <c r="U915" s="40"/>
      <c r="V915" s="40"/>
      <c r="W915" s="40"/>
    </row>
    <row r="916" ht="12.75" customHeight="1">
      <c r="B916" s="24"/>
      <c r="C916" s="24"/>
      <c r="Q916" s="40"/>
      <c r="R916" s="40"/>
      <c r="S916" s="40"/>
      <c r="T916" s="40"/>
      <c r="U916" s="40"/>
      <c r="V916" s="40"/>
      <c r="W916" s="40"/>
    </row>
    <row r="917" ht="12.75" customHeight="1">
      <c r="B917" s="24"/>
      <c r="C917" s="24"/>
      <c r="Q917" s="40"/>
      <c r="R917" s="40"/>
      <c r="S917" s="40"/>
      <c r="T917" s="40"/>
      <c r="U917" s="40"/>
      <c r="V917" s="40"/>
      <c r="W917" s="40"/>
    </row>
    <row r="918" ht="12.75" customHeight="1">
      <c r="B918" s="24"/>
      <c r="C918" s="24"/>
      <c r="Q918" s="40"/>
      <c r="R918" s="40"/>
      <c r="S918" s="40"/>
      <c r="T918" s="40"/>
      <c r="U918" s="40"/>
      <c r="V918" s="40"/>
      <c r="W918" s="40"/>
    </row>
    <row r="919" ht="12.75" customHeight="1">
      <c r="B919" s="24"/>
      <c r="C919" s="24"/>
      <c r="Q919" s="40"/>
      <c r="R919" s="40"/>
      <c r="S919" s="40"/>
      <c r="T919" s="40"/>
      <c r="U919" s="40"/>
      <c r="V919" s="40"/>
      <c r="W919" s="40"/>
    </row>
    <row r="920" ht="12.75" customHeight="1">
      <c r="B920" s="24"/>
      <c r="C920" s="24"/>
      <c r="Q920" s="40"/>
      <c r="R920" s="40"/>
      <c r="S920" s="40"/>
      <c r="T920" s="40"/>
      <c r="U920" s="40"/>
      <c r="V920" s="40"/>
      <c r="W920" s="40"/>
    </row>
    <row r="921" ht="12.75" customHeight="1">
      <c r="B921" s="24"/>
      <c r="C921" s="24"/>
      <c r="Q921" s="40"/>
      <c r="R921" s="40"/>
      <c r="S921" s="40"/>
      <c r="T921" s="40"/>
      <c r="U921" s="40"/>
      <c r="V921" s="40"/>
      <c r="W921" s="40"/>
    </row>
    <row r="922" ht="12.75" customHeight="1">
      <c r="B922" s="24"/>
      <c r="C922" s="24"/>
      <c r="Q922" s="40"/>
      <c r="R922" s="40"/>
      <c r="S922" s="40"/>
      <c r="T922" s="40"/>
      <c r="U922" s="40"/>
      <c r="V922" s="40"/>
      <c r="W922" s="40"/>
    </row>
    <row r="923" ht="12.75" customHeight="1">
      <c r="B923" s="24"/>
      <c r="C923" s="24"/>
      <c r="Q923" s="40"/>
      <c r="R923" s="40"/>
      <c r="S923" s="40"/>
      <c r="T923" s="40"/>
      <c r="U923" s="40"/>
      <c r="V923" s="40"/>
      <c r="W923" s="40"/>
    </row>
    <row r="924" ht="12.75" customHeight="1">
      <c r="B924" s="24"/>
      <c r="C924" s="24"/>
      <c r="Q924" s="40"/>
      <c r="R924" s="40"/>
      <c r="S924" s="40"/>
      <c r="T924" s="40"/>
      <c r="U924" s="40"/>
      <c r="V924" s="40"/>
      <c r="W924" s="40"/>
    </row>
    <row r="925" ht="12.75" customHeight="1">
      <c r="B925" s="24"/>
      <c r="C925" s="24"/>
      <c r="Q925" s="40"/>
      <c r="R925" s="40"/>
      <c r="S925" s="40"/>
      <c r="T925" s="40"/>
      <c r="U925" s="40"/>
      <c r="V925" s="40"/>
      <c r="W925" s="40"/>
    </row>
    <row r="926" ht="12.75" customHeight="1">
      <c r="B926" s="24"/>
      <c r="C926" s="24"/>
      <c r="Q926" s="40"/>
      <c r="R926" s="40"/>
      <c r="S926" s="40"/>
      <c r="T926" s="40"/>
      <c r="U926" s="40"/>
      <c r="V926" s="40"/>
      <c r="W926" s="40"/>
    </row>
    <row r="927" ht="12.75" customHeight="1">
      <c r="B927" s="24"/>
      <c r="C927" s="24"/>
      <c r="Q927" s="40"/>
      <c r="R927" s="40"/>
      <c r="S927" s="40"/>
      <c r="T927" s="40"/>
      <c r="U927" s="40"/>
      <c r="V927" s="40"/>
      <c r="W927" s="40"/>
    </row>
    <row r="928" ht="12.75" customHeight="1">
      <c r="B928" s="24"/>
      <c r="C928" s="24"/>
      <c r="Q928" s="40"/>
      <c r="R928" s="40"/>
      <c r="S928" s="40"/>
      <c r="T928" s="40"/>
      <c r="U928" s="40"/>
      <c r="V928" s="40"/>
      <c r="W928" s="40"/>
    </row>
    <row r="929" ht="12.75" customHeight="1">
      <c r="B929" s="24"/>
      <c r="C929" s="24"/>
      <c r="Q929" s="40"/>
      <c r="R929" s="40"/>
      <c r="S929" s="40"/>
      <c r="T929" s="40"/>
      <c r="U929" s="40"/>
      <c r="V929" s="40"/>
      <c r="W929" s="40"/>
    </row>
    <row r="930" ht="12.75" customHeight="1">
      <c r="B930" s="24"/>
      <c r="C930" s="24"/>
      <c r="Q930" s="40"/>
      <c r="R930" s="40"/>
      <c r="S930" s="40"/>
      <c r="T930" s="40"/>
      <c r="U930" s="40"/>
      <c r="V930" s="40"/>
      <c r="W930" s="40"/>
    </row>
    <row r="931" ht="12.75" customHeight="1">
      <c r="B931" s="24"/>
      <c r="C931" s="24"/>
      <c r="Q931" s="40"/>
      <c r="R931" s="40"/>
      <c r="S931" s="40"/>
      <c r="T931" s="40"/>
      <c r="U931" s="40"/>
      <c r="V931" s="40"/>
      <c r="W931" s="40"/>
    </row>
    <row r="932" ht="12.75" customHeight="1">
      <c r="B932" s="24"/>
      <c r="C932" s="24"/>
      <c r="Q932" s="40"/>
      <c r="R932" s="40"/>
      <c r="S932" s="40"/>
      <c r="T932" s="40"/>
      <c r="U932" s="40"/>
      <c r="V932" s="40"/>
      <c r="W932" s="40"/>
    </row>
    <row r="933" ht="12.75" customHeight="1">
      <c r="B933" s="24"/>
      <c r="C933" s="24"/>
      <c r="Q933" s="40"/>
      <c r="R933" s="40"/>
      <c r="S933" s="40"/>
      <c r="T933" s="40"/>
      <c r="U933" s="40"/>
      <c r="V933" s="40"/>
      <c r="W933" s="40"/>
    </row>
    <row r="934" ht="12.75" customHeight="1">
      <c r="B934" s="24"/>
      <c r="C934" s="24"/>
      <c r="Q934" s="40"/>
      <c r="R934" s="40"/>
      <c r="S934" s="40"/>
      <c r="T934" s="40"/>
      <c r="U934" s="40"/>
      <c r="V934" s="40"/>
      <c r="W934" s="40"/>
    </row>
    <row r="935" ht="12.75" customHeight="1">
      <c r="B935" s="24"/>
      <c r="C935" s="24"/>
      <c r="Q935" s="40"/>
      <c r="R935" s="40"/>
      <c r="S935" s="40"/>
      <c r="T935" s="40"/>
      <c r="U935" s="40"/>
      <c r="V935" s="40"/>
      <c r="W935" s="40"/>
    </row>
    <row r="936" ht="12.75" customHeight="1">
      <c r="B936" s="24"/>
      <c r="C936" s="24"/>
      <c r="Q936" s="40"/>
      <c r="R936" s="40"/>
      <c r="S936" s="40"/>
      <c r="T936" s="40"/>
      <c r="U936" s="40"/>
      <c r="V936" s="40"/>
      <c r="W936" s="40"/>
    </row>
    <row r="937" ht="12.75" customHeight="1">
      <c r="B937" s="24"/>
      <c r="C937" s="24"/>
      <c r="Q937" s="40"/>
      <c r="R937" s="40"/>
      <c r="S937" s="40"/>
      <c r="T937" s="40"/>
      <c r="U937" s="40"/>
      <c r="V937" s="40"/>
      <c r="W937" s="40"/>
    </row>
    <row r="938" ht="12.75" customHeight="1">
      <c r="B938" s="24"/>
      <c r="C938" s="24"/>
      <c r="Q938" s="40"/>
      <c r="R938" s="40"/>
      <c r="S938" s="40"/>
      <c r="T938" s="40"/>
      <c r="U938" s="40"/>
      <c r="V938" s="40"/>
      <c r="W938" s="40"/>
    </row>
    <row r="939" ht="12.75" customHeight="1">
      <c r="B939" s="24"/>
      <c r="C939" s="24"/>
      <c r="Q939" s="40"/>
      <c r="R939" s="40"/>
      <c r="S939" s="40"/>
      <c r="T939" s="40"/>
      <c r="U939" s="40"/>
      <c r="V939" s="40"/>
      <c r="W939" s="40"/>
    </row>
    <row r="940" ht="12.75" customHeight="1">
      <c r="B940" s="24"/>
      <c r="C940" s="24"/>
      <c r="Q940" s="40"/>
      <c r="R940" s="40"/>
      <c r="S940" s="40"/>
      <c r="T940" s="40"/>
      <c r="U940" s="40"/>
      <c r="V940" s="40"/>
      <c r="W940" s="40"/>
    </row>
    <row r="941" ht="12.75" customHeight="1">
      <c r="B941" s="24"/>
      <c r="C941" s="24"/>
      <c r="Q941" s="40"/>
      <c r="R941" s="40"/>
      <c r="S941" s="40"/>
      <c r="T941" s="40"/>
      <c r="U941" s="40"/>
      <c r="V941" s="40"/>
      <c r="W941" s="40"/>
    </row>
    <row r="942" ht="12.75" customHeight="1">
      <c r="B942" s="24"/>
      <c r="C942" s="24"/>
      <c r="Q942" s="40"/>
      <c r="R942" s="40"/>
      <c r="S942" s="40"/>
      <c r="T942" s="40"/>
      <c r="U942" s="40"/>
      <c r="V942" s="40"/>
      <c r="W942" s="40"/>
    </row>
    <row r="943" ht="12.75" customHeight="1">
      <c r="B943" s="24"/>
      <c r="C943" s="24"/>
      <c r="Q943" s="40"/>
      <c r="R943" s="40"/>
      <c r="S943" s="40"/>
      <c r="T943" s="40"/>
      <c r="U943" s="40"/>
      <c r="V943" s="40"/>
      <c r="W943" s="40"/>
    </row>
    <row r="944" ht="12.75" customHeight="1">
      <c r="B944" s="24"/>
      <c r="C944" s="24"/>
      <c r="Q944" s="40"/>
      <c r="R944" s="40"/>
      <c r="S944" s="40"/>
      <c r="T944" s="40"/>
      <c r="U944" s="40"/>
      <c r="V944" s="40"/>
      <c r="W944" s="40"/>
    </row>
    <row r="945" ht="12.75" customHeight="1">
      <c r="B945" s="24"/>
      <c r="C945" s="24"/>
      <c r="Q945" s="40"/>
      <c r="R945" s="40"/>
      <c r="S945" s="40"/>
      <c r="T945" s="40"/>
      <c r="U945" s="40"/>
      <c r="V945" s="40"/>
      <c r="W945" s="40"/>
    </row>
    <row r="946" ht="12.75" customHeight="1">
      <c r="B946" s="24"/>
      <c r="C946" s="24"/>
      <c r="Q946" s="40"/>
      <c r="R946" s="40"/>
      <c r="S946" s="40"/>
      <c r="T946" s="40"/>
      <c r="U946" s="40"/>
      <c r="V946" s="40"/>
      <c r="W946" s="40"/>
    </row>
    <row r="947" ht="12.75" customHeight="1">
      <c r="B947" s="24"/>
      <c r="C947" s="24"/>
      <c r="Q947" s="40"/>
      <c r="R947" s="40"/>
      <c r="S947" s="40"/>
      <c r="T947" s="40"/>
      <c r="U947" s="40"/>
      <c r="V947" s="40"/>
      <c r="W947" s="40"/>
    </row>
    <row r="948" ht="12.75" customHeight="1">
      <c r="B948" s="24"/>
      <c r="C948" s="24"/>
      <c r="Q948" s="40"/>
      <c r="R948" s="40"/>
      <c r="S948" s="40"/>
      <c r="T948" s="40"/>
      <c r="U948" s="40"/>
      <c r="V948" s="40"/>
      <c r="W948" s="40"/>
    </row>
    <row r="949" ht="12.75" customHeight="1">
      <c r="B949" s="24"/>
      <c r="C949" s="24"/>
      <c r="Q949" s="40"/>
      <c r="R949" s="40"/>
      <c r="S949" s="40"/>
      <c r="T949" s="40"/>
      <c r="U949" s="40"/>
      <c r="V949" s="40"/>
      <c r="W949" s="40"/>
    </row>
    <row r="950" ht="12.75" customHeight="1">
      <c r="B950" s="24"/>
      <c r="C950" s="24"/>
      <c r="Q950" s="40"/>
      <c r="R950" s="40"/>
      <c r="S950" s="40"/>
      <c r="T950" s="40"/>
      <c r="U950" s="40"/>
      <c r="V950" s="40"/>
      <c r="W950" s="40"/>
    </row>
    <row r="951" ht="12.75" customHeight="1">
      <c r="B951" s="24"/>
      <c r="C951" s="24"/>
      <c r="Q951" s="40"/>
      <c r="R951" s="40"/>
      <c r="S951" s="40"/>
      <c r="T951" s="40"/>
      <c r="U951" s="40"/>
      <c r="V951" s="40"/>
      <c r="W951" s="40"/>
    </row>
    <row r="952" ht="12.75" customHeight="1">
      <c r="B952" s="24"/>
      <c r="C952" s="24"/>
      <c r="Q952" s="40"/>
      <c r="R952" s="40"/>
      <c r="S952" s="40"/>
      <c r="T952" s="40"/>
      <c r="U952" s="40"/>
      <c r="V952" s="40"/>
      <c r="W952" s="40"/>
    </row>
    <row r="953" ht="12.75" customHeight="1">
      <c r="B953" s="24"/>
      <c r="C953" s="24"/>
      <c r="Q953" s="40"/>
      <c r="R953" s="40"/>
      <c r="S953" s="40"/>
      <c r="T953" s="40"/>
      <c r="U953" s="40"/>
      <c r="V953" s="40"/>
      <c r="W953" s="40"/>
    </row>
    <row r="954" ht="12.75" customHeight="1">
      <c r="B954" s="24"/>
      <c r="C954" s="24"/>
      <c r="Q954" s="40"/>
      <c r="R954" s="40"/>
      <c r="S954" s="40"/>
      <c r="T954" s="40"/>
      <c r="U954" s="40"/>
      <c r="V954" s="40"/>
      <c r="W954" s="40"/>
    </row>
    <row r="955" ht="12.75" customHeight="1">
      <c r="B955" s="24"/>
      <c r="C955" s="24"/>
      <c r="Q955" s="40"/>
      <c r="R955" s="40"/>
      <c r="S955" s="40"/>
      <c r="T955" s="40"/>
      <c r="U955" s="40"/>
      <c r="V955" s="40"/>
      <c r="W955" s="40"/>
    </row>
    <row r="956" ht="12.75" customHeight="1">
      <c r="B956" s="24"/>
      <c r="C956" s="24"/>
      <c r="Q956" s="40"/>
      <c r="R956" s="40"/>
      <c r="S956" s="40"/>
      <c r="T956" s="40"/>
      <c r="U956" s="40"/>
      <c r="V956" s="40"/>
      <c r="W956" s="40"/>
    </row>
    <row r="957" ht="12.75" customHeight="1">
      <c r="B957" s="24"/>
      <c r="C957" s="24"/>
      <c r="Q957" s="40"/>
      <c r="R957" s="40"/>
      <c r="S957" s="40"/>
      <c r="T957" s="40"/>
      <c r="U957" s="40"/>
      <c r="V957" s="40"/>
      <c r="W957" s="40"/>
    </row>
    <row r="958" ht="12.75" customHeight="1">
      <c r="B958" s="24"/>
      <c r="C958" s="24"/>
      <c r="Q958" s="40"/>
      <c r="R958" s="40"/>
      <c r="S958" s="40"/>
      <c r="T958" s="40"/>
      <c r="U958" s="40"/>
      <c r="V958" s="40"/>
      <c r="W958" s="40"/>
    </row>
    <row r="959" ht="12.75" customHeight="1">
      <c r="B959" s="24"/>
      <c r="C959" s="24"/>
      <c r="Q959" s="40"/>
      <c r="R959" s="40"/>
      <c r="S959" s="40"/>
      <c r="T959" s="40"/>
      <c r="U959" s="40"/>
      <c r="V959" s="40"/>
      <c r="W959" s="40"/>
    </row>
    <row r="960" ht="12.75" customHeight="1">
      <c r="B960" s="24"/>
      <c r="C960" s="24"/>
      <c r="Q960" s="40"/>
      <c r="R960" s="40"/>
      <c r="S960" s="40"/>
      <c r="T960" s="40"/>
      <c r="U960" s="40"/>
      <c r="V960" s="40"/>
      <c r="W960" s="40"/>
    </row>
    <row r="961" ht="12.75" customHeight="1">
      <c r="B961" s="24"/>
      <c r="C961" s="24"/>
      <c r="Q961" s="40"/>
      <c r="R961" s="40"/>
      <c r="S961" s="40"/>
      <c r="T961" s="40"/>
      <c r="U961" s="40"/>
      <c r="V961" s="40"/>
      <c r="W961" s="40"/>
    </row>
    <row r="962" ht="12.75" customHeight="1">
      <c r="B962" s="24"/>
      <c r="C962" s="24"/>
      <c r="Q962" s="40"/>
      <c r="R962" s="40"/>
      <c r="S962" s="40"/>
      <c r="T962" s="40"/>
      <c r="U962" s="40"/>
      <c r="V962" s="40"/>
      <c r="W962" s="40"/>
    </row>
    <row r="963" ht="12.75" customHeight="1">
      <c r="B963" s="24"/>
      <c r="C963" s="24"/>
      <c r="Q963" s="40"/>
      <c r="R963" s="40"/>
      <c r="S963" s="40"/>
      <c r="T963" s="40"/>
      <c r="U963" s="40"/>
      <c r="V963" s="40"/>
      <c r="W963" s="40"/>
    </row>
    <row r="964" ht="12.75" customHeight="1">
      <c r="B964" s="24"/>
      <c r="C964" s="24"/>
      <c r="Q964" s="40"/>
      <c r="R964" s="40"/>
      <c r="S964" s="40"/>
      <c r="T964" s="40"/>
      <c r="U964" s="40"/>
      <c r="V964" s="40"/>
      <c r="W964" s="40"/>
    </row>
    <row r="965" ht="12.75" customHeight="1">
      <c r="B965" s="24"/>
      <c r="C965" s="24"/>
      <c r="Q965" s="40"/>
      <c r="R965" s="40"/>
      <c r="S965" s="40"/>
      <c r="T965" s="40"/>
      <c r="U965" s="40"/>
      <c r="V965" s="40"/>
      <c r="W965" s="40"/>
    </row>
    <row r="966" ht="12.75" customHeight="1">
      <c r="B966" s="24"/>
      <c r="C966" s="24"/>
      <c r="Q966" s="40"/>
      <c r="R966" s="40"/>
      <c r="S966" s="40"/>
      <c r="T966" s="40"/>
      <c r="U966" s="40"/>
      <c r="V966" s="40"/>
      <c r="W966" s="40"/>
    </row>
    <row r="967" ht="12.75" customHeight="1">
      <c r="B967" s="24"/>
      <c r="C967" s="24"/>
      <c r="Q967" s="40"/>
      <c r="R967" s="40"/>
      <c r="S967" s="40"/>
      <c r="T967" s="40"/>
      <c r="U967" s="40"/>
      <c r="V967" s="40"/>
      <c r="W967" s="40"/>
    </row>
    <row r="968" ht="12.75" customHeight="1">
      <c r="B968" s="24"/>
      <c r="C968" s="24"/>
      <c r="Q968" s="40"/>
      <c r="R968" s="40"/>
      <c r="S968" s="40"/>
      <c r="T968" s="40"/>
      <c r="U968" s="40"/>
      <c r="V968" s="40"/>
      <c r="W968" s="40"/>
    </row>
    <row r="969" ht="12.75" customHeight="1">
      <c r="B969" s="24"/>
      <c r="C969" s="24"/>
      <c r="Q969" s="40"/>
      <c r="R969" s="40"/>
      <c r="S969" s="40"/>
      <c r="T969" s="40"/>
      <c r="U969" s="40"/>
      <c r="V969" s="40"/>
      <c r="W969" s="40"/>
    </row>
    <row r="970" ht="12.75" customHeight="1">
      <c r="B970" s="24"/>
      <c r="C970" s="24"/>
      <c r="Q970" s="40"/>
      <c r="R970" s="40"/>
      <c r="S970" s="40"/>
      <c r="T970" s="40"/>
      <c r="U970" s="40"/>
      <c r="V970" s="40"/>
      <c r="W970" s="40"/>
    </row>
    <row r="971" ht="12.75" customHeight="1">
      <c r="B971" s="24"/>
      <c r="C971" s="24"/>
      <c r="Q971" s="40"/>
      <c r="R971" s="40"/>
      <c r="S971" s="40"/>
      <c r="T971" s="40"/>
      <c r="U971" s="40"/>
      <c r="V971" s="40"/>
      <c r="W971" s="40"/>
    </row>
    <row r="972" ht="12.75" customHeight="1">
      <c r="B972" s="24"/>
      <c r="C972" s="24"/>
      <c r="Q972" s="40"/>
      <c r="R972" s="40"/>
      <c r="S972" s="40"/>
      <c r="T972" s="40"/>
      <c r="U972" s="40"/>
      <c r="V972" s="40"/>
      <c r="W972" s="40"/>
    </row>
    <row r="973" ht="12.75" customHeight="1">
      <c r="B973" s="24"/>
      <c r="C973" s="24"/>
      <c r="Q973" s="40"/>
      <c r="R973" s="40"/>
      <c r="S973" s="40"/>
      <c r="T973" s="40"/>
      <c r="U973" s="40"/>
      <c r="V973" s="40"/>
      <c r="W973" s="40"/>
    </row>
    <row r="974" ht="12.75" customHeight="1">
      <c r="B974" s="24"/>
      <c r="C974" s="24"/>
      <c r="Q974" s="40"/>
      <c r="R974" s="40"/>
      <c r="S974" s="40"/>
      <c r="T974" s="40"/>
      <c r="U974" s="40"/>
      <c r="V974" s="40"/>
      <c r="W974" s="40"/>
    </row>
    <row r="975" ht="12.75" customHeight="1">
      <c r="B975" s="24"/>
      <c r="C975" s="24"/>
      <c r="Q975" s="40"/>
      <c r="R975" s="40"/>
      <c r="S975" s="40"/>
      <c r="T975" s="40"/>
      <c r="U975" s="40"/>
      <c r="V975" s="40"/>
      <c r="W975" s="40"/>
    </row>
    <row r="976" ht="12.75" customHeight="1">
      <c r="B976" s="24"/>
      <c r="C976" s="24"/>
      <c r="Q976" s="40"/>
      <c r="R976" s="40"/>
      <c r="S976" s="40"/>
      <c r="T976" s="40"/>
      <c r="U976" s="40"/>
      <c r="V976" s="40"/>
      <c r="W976" s="40"/>
    </row>
    <row r="977" ht="12.75" customHeight="1">
      <c r="B977" s="24"/>
      <c r="C977" s="24"/>
      <c r="Q977" s="40"/>
      <c r="R977" s="40"/>
      <c r="S977" s="40"/>
      <c r="T977" s="40"/>
      <c r="U977" s="40"/>
      <c r="V977" s="40"/>
      <c r="W977" s="40"/>
    </row>
    <row r="978" ht="12.75" customHeight="1">
      <c r="B978" s="24"/>
      <c r="C978" s="24"/>
      <c r="Q978" s="40"/>
      <c r="R978" s="40"/>
      <c r="S978" s="40"/>
      <c r="T978" s="40"/>
      <c r="U978" s="40"/>
      <c r="V978" s="40"/>
      <c r="W978" s="40"/>
    </row>
    <row r="979" ht="12.75" customHeight="1">
      <c r="B979" s="24"/>
      <c r="C979" s="24"/>
      <c r="Q979" s="40"/>
      <c r="R979" s="40"/>
      <c r="S979" s="40"/>
      <c r="T979" s="40"/>
      <c r="U979" s="40"/>
      <c r="V979" s="40"/>
      <c r="W979" s="40"/>
    </row>
    <row r="980" ht="12.75" customHeight="1">
      <c r="B980" s="24"/>
      <c r="C980" s="24"/>
      <c r="Q980" s="40"/>
      <c r="R980" s="40"/>
      <c r="S980" s="40"/>
      <c r="T980" s="40"/>
      <c r="U980" s="40"/>
      <c r="V980" s="40"/>
      <c r="W980" s="40"/>
    </row>
    <row r="981" ht="12.75" customHeight="1">
      <c r="B981" s="24"/>
      <c r="C981" s="24"/>
      <c r="Q981" s="40"/>
      <c r="R981" s="40"/>
      <c r="S981" s="40"/>
      <c r="T981" s="40"/>
      <c r="U981" s="40"/>
      <c r="V981" s="40"/>
      <c r="W981" s="40"/>
    </row>
    <row r="982" ht="12.75" customHeight="1">
      <c r="B982" s="24"/>
      <c r="C982" s="24"/>
      <c r="Q982" s="40"/>
      <c r="R982" s="40"/>
      <c r="S982" s="40"/>
      <c r="T982" s="40"/>
      <c r="U982" s="40"/>
      <c r="V982" s="40"/>
      <c r="W982" s="40"/>
    </row>
    <row r="983" ht="12.75" customHeight="1">
      <c r="B983" s="24"/>
      <c r="C983" s="24"/>
      <c r="Q983" s="40"/>
      <c r="R983" s="40"/>
      <c r="S983" s="40"/>
      <c r="T983" s="40"/>
      <c r="U983" s="40"/>
      <c r="V983" s="40"/>
      <c r="W983" s="40"/>
    </row>
    <row r="984" ht="12.75" customHeight="1">
      <c r="B984" s="24"/>
      <c r="C984" s="24"/>
      <c r="Q984" s="40"/>
      <c r="R984" s="40"/>
      <c r="S984" s="40"/>
      <c r="T984" s="40"/>
      <c r="U984" s="40"/>
      <c r="V984" s="40"/>
      <c r="W984" s="40"/>
    </row>
    <row r="985" ht="12.75" customHeight="1">
      <c r="B985" s="24"/>
      <c r="C985" s="24"/>
      <c r="Q985" s="40"/>
      <c r="R985" s="40"/>
      <c r="S985" s="40"/>
      <c r="T985" s="40"/>
      <c r="U985" s="40"/>
      <c r="V985" s="40"/>
      <c r="W985" s="40"/>
    </row>
    <row r="986" ht="12.75" customHeight="1">
      <c r="B986" s="24"/>
      <c r="C986" s="24"/>
      <c r="Q986" s="40"/>
      <c r="R986" s="40"/>
      <c r="S986" s="40"/>
      <c r="T986" s="40"/>
      <c r="U986" s="40"/>
      <c r="V986" s="40"/>
      <c r="W986" s="40"/>
    </row>
    <row r="987" ht="12.75" customHeight="1">
      <c r="B987" s="24"/>
      <c r="C987" s="24"/>
      <c r="Q987" s="40"/>
      <c r="R987" s="40"/>
      <c r="S987" s="40"/>
      <c r="T987" s="40"/>
      <c r="U987" s="40"/>
      <c r="V987" s="40"/>
      <c r="W987" s="40"/>
    </row>
    <row r="988" ht="12.75" customHeight="1">
      <c r="B988" s="24"/>
      <c r="C988" s="24"/>
      <c r="Q988" s="40"/>
      <c r="R988" s="40"/>
      <c r="S988" s="40"/>
      <c r="T988" s="40"/>
      <c r="U988" s="40"/>
      <c r="V988" s="40"/>
      <c r="W988" s="40"/>
    </row>
    <row r="989" ht="12.75" customHeight="1">
      <c r="B989" s="24"/>
      <c r="C989" s="24"/>
      <c r="Q989" s="40"/>
      <c r="R989" s="40"/>
      <c r="S989" s="40"/>
      <c r="T989" s="40"/>
      <c r="U989" s="40"/>
      <c r="V989" s="40"/>
      <c r="W989" s="40"/>
    </row>
    <row r="990" ht="12.75" customHeight="1">
      <c r="B990" s="24"/>
      <c r="C990" s="24"/>
      <c r="Q990" s="40"/>
      <c r="R990" s="40"/>
      <c r="S990" s="40"/>
      <c r="T990" s="40"/>
      <c r="U990" s="40"/>
      <c r="V990" s="40"/>
      <c r="W990" s="40"/>
    </row>
    <row r="991" ht="12.75" customHeight="1">
      <c r="B991" s="24"/>
      <c r="C991" s="24"/>
      <c r="Q991" s="40"/>
      <c r="R991" s="40"/>
      <c r="S991" s="40"/>
      <c r="T991" s="40"/>
      <c r="U991" s="40"/>
      <c r="V991" s="40"/>
      <c r="W991" s="40"/>
    </row>
    <row r="992" ht="12.75" customHeight="1">
      <c r="B992" s="24"/>
      <c r="C992" s="24"/>
      <c r="Q992" s="40"/>
      <c r="R992" s="40"/>
      <c r="S992" s="40"/>
      <c r="T992" s="40"/>
      <c r="U992" s="40"/>
      <c r="V992" s="40"/>
      <c r="W992" s="40"/>
    </row>
    <row r="993" ht="12.75" customHeight="1">
      <c r="B993" s="24"/>
      <c r="C993" s="24"/>
      <c r="Q993" s="40"/>
      <c r="R993" s="40"/>
      <c r="S993" s="40"/>
      <c r="T993" s="40"/>
      <c r="U993" s="40"/>
      <c r="V993" s="40"/>
      <c r="W993" s="40"/>
    </row>
    <row r="994" ht="12.75" customHeight="1">
      <c r="B994" s="24"/>
      <c r="C994" s="24"/>
      <c r="Q994" s="40"/>
      <c r="R994" s="40"/>
      <c r="S994" s="40"/>
      <c r="T994" s="40"/>
      <c r="U994" s="40"/>
      <c r="V994" s="40"/>
      <c r="W994" s="40"/>
    </row>
    <row r="995" ht="12.75" customHeight="1">
      <c r="B995" s="24"/>
      <c r="C995" s="24"/>
      <c r="Q995" s="40"/>
      <c r="R995" s="40"/>
      <c r="S995" s="40"/>
      <c r="T995" s="40"/>
      <c r="U995" s="40"/>
      <c r="V995" s="40"/>
      <c r="W995" s="40"/>
    </row>
    <row r="996" ht="12.75" customHeight="1">
      <c r="B996" s="24"/>
      <c r="C996" s="24"/>
      <c r="Q996" s="40"/>
      <c r="R996" s="40"/>
      <c r="S996" s="40"/>
      <c r="T996" s="40"/>
      <c r="U996" s="40"/>
      <c r="V996" s="40"/>
      <c r="W996" s="40"/>
    </row>
    <row r="997" ht="12.75" customHeight="1">
      <c r="B997" s="24"/>
      <c r="C997" s="24"/>
      <c r="Q997" s="40"/>
      <c r="R997" s="40"/>
      <c r="S997" s="40"/>
      <c r="T997" s="40"/>
      <c r="U997" s="40"/>
      <c r="V997" s="40"/>
      <c r="W997" s="40"/>
    </row>
    <row r="998" ht="12.75" customHeight="1">
      <c r="B998" s="24"/>
      <c r="C998" s="24"/>
      <c r="Q998" s="40"/>
      <c r="R998" s="40"/>
      <c r="S998" s="40"/>
      <c r="T998" s="40"/>
      <c r="U998" s="40"/>
      <c r="V998" s="40"/>
      <c r="W998" s="40"/>
    </row>
    <row r="999" ht="12.75" customHeight="1">
      <c r="B999" s="24"/>
      <c r="C999" s="24"/>
      <c r="Q999" s="40"/>
      <c r="R999" s="40"/>
      <c r="S999" s="40"/>
      <c r="T999" s="40"/>
      <c r="U999" s="40"/>
      <c r="V999" s="40"/>
      <c r="W999" s="40"/>
    </row>
    <row r="1000" ht="12.75" customHeight="1">
      <c r="B1000" s="24"/>
      <c r="C1000" s="24"/>
      <c r="Q1000" s="40"/>
      <c r="R1000" s="40"/>
      <c r="S1000" s="40"/>
      <c r="T1000" s="40"/>
      <c r="U1000" s="40"/>
      <c r="V1000" s="40"/>
      <c r="W1000" s="40"/>
    </row>
  </sheetData>
  <mergeCells count="43">
    <mergeCell ref="E9:L9"/>
    <mergeCell ref="E10:L10"/>
    <mergeCell ref="N10:O10"/>
    <mergeCell ref="E11:L11"/>
    <mergeCell ref="N11:O11"/>
    <mergeCell ref="E12:L12"/>
    <mergeCell ref="A2:P2"/>
    <mergeCell ref="A3:P3"/>
    <mergeCell ref="J5:L5"/>
    <mergeCell ref="A7:D7"/>
    <mergeCell ref="E7:N7"/>
    <mergeCell ref="E8:L8"/>
    <mergeCell ref="M8:N8"/>
    <mergeCell ref="A8:D8"/>
    <mergeCell ref="A9:D9"/>
    <mergeCell ref="A10:D10"/>
    <mergeCell ref="A11:D11"/>
    <mergeCell ref="A12:D12"/>
    <mergeCell ref="D16:F16"/>
    <mergeCell ref="D17:F17"/>
    <mergeCell ref="D18:F18"/>
    <mergeCell ref="D19:F19"/>
    <mergeCell ref="D20:F20"/>
    <mergeCell ref="D21:F21"/>
    <mergeCell ref="D24:F24"/>
    <mergeCell ref="D22:F22"/>
    <mergeCell ref="D23:F23"/>
    <mergeCell ref="D25:F25"/>
    <mergeCell ref="D26:F26"/>
    <mergeCell ref="D27:F27"/>
    <mergeCell ref="D28:F28"/>
    <mergeCell ref="D29:F29"/>
    <mergeCell ref="D30:F30"/>
    <mergeCell ref="D31:F31"/>
    <mergeCell ref="N46:P46"/>
    <mergeCell ref="N47:P47"/>
    <mergeCell ref="D32:F32"/>
    <mergeCell ref="D33:F33"/>
    <mergeCell ref="M35:O35"/>
    <mergeCell ref="M41:O41"/>
    <mergeCell ref="N45:P45"/>
    <mergeCell ref="D46:G46"/>
    <mergeCell ref="D47:G47"/>
  </mergeCells>
  <conditionalFormatting sqref="A17:A33">
    <cfRule type="cellIs" dxfId="2" priority="1" operator="equal">
      <formula>0</formula>
    </cfRule>
  </conditionalFormatting>
  <conditionalFormatting sqref="D17:F33">
    <cfRule type="cellIs" dxfId="2" priority="2" operator="equal">
      <formula>0</formula>
    </cfRule>
  </conditionalFormatting>
  <conditionalFormatting sqref="G17:G26">
    <cfRule type="cellIs" dxfId="2" priority="3" operator="equal">
      <formula>0</formula>
    </cfRule>
  </conditionalFormatting>
  <conditionalFormatting sqref="I18:I26">
    <cfRule type="cellIs" dxfId="2" priority="4" operator="equal">
      <formula>0</formula>
    </cfRule>
  </conditionalFormatting>
  <conditionalFormatting sqref="J17:K26">
    <cfRule type="cellIs" dxfId="2" priority="5" operator="equal">
      <formula>0</formula>
    </cfRule>
  </conditionalFormatting>
  <conditionalFormatting sqref="D46:G46">
    <cfRule type="cellIs" dxfId="2" priority="6" operator="equal">
      <formula>0</formula>
    </cfRule>
  </conditionalFormatting>
  <dataValidations>
    <dataValidation type="list" allowBlank="1" showErrorMessage="1" sqref="G17:G33">
      <formula1>categorias!$A$2:$A$15</formula1>
    </dataValidation>
    <dataValidation type="list" allowBlank="1" showErrorMessage="1" sqref="E11">
      <formula1>"Investigación aplicada y transferencia,Investigación Básica e nnovación,Desarrollo Experimental"</formula1>
    </dataValidation>
    <dataValidation type="list" allowBlank="1" showDropDown="1" showErrorMessage="1" sqref="O17:O32">
      <formula1>"Si,No,SI,NO,si,no"</formula1>
    </dataValidation>
    <dataValidation type="list" allowBlank="1" showErrorMessage="1" sqref="E10">
      <formula1>convocatoria1</formula1>
    </dataValidation>
    <dataValidation type="list" allowBlank="1" showErrorMessage="1" sqref="D17:D33">
      <formula1>"Coordinador de proyecto,Investigador,Auxiliar de Investigación I,Auxiliar de Investigación II,Diseñador,Tester"</formula1>
    </dataValidation>
    <dataValidation type="list" allowBlank="1" showErrorMessage="1" sqref="M8">
      <formula1>programas</formula1>
    </dataValidation>
    <dataValidation type="list" allowBlank="1" showErrorMessage="1" sqref="E12">
      <formula1>"Científico Tecnológica,Salud,Social Humanística"</formula1>
    </dataValidation>
  </dataValidations>
  <printOptions/>
  <pageMargins bottom="0.7480314960629921" footer="0.0" header="0.0" left="0.7086614173228347" right="0.7086614173228347" top="0.7480314960629921"/>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6.0" topLeftCell="A7" activePane="bottomLeft" state="frozen"/>
      <selection activeCell="B8" sqref="B8" pane="bottomLeft"/>
    </sheetView>
  </sheetViews>
  <sheetFormatPr customHeight="1" defaultColWidth="12.63" defaultRowHeight="15.0"/>
  <cols>
    <col customWidth="1" min="1" max="1" width="27.25"/>
    <col customWidth="1" min="2" max="2" width="10.25"/>
    <col customWidth="1" min="3" max="3" width="21.5"/>
    <col customWidth="1" min="4" max="4" width="6.75"/>
    <col customWidth="1" min="5" max="5" width="17.25"/>
    <col customWidth="1" min="6" max="6" width="18.5"/>
    <col customWidth="1" min="7" max="7" width="29.5"/>
    <col customWidth="1" min="8" max="8" width="8.25"/>
    <col customWidth="1" hidden="1" min="9" max="11" width="8.75"/>
    <col customWidth="1" min="12" max="13" width="19.25"/>
    <col customWidth="1" min="14" max="14" width="11.75"/>
    <col customWidth="1" min="15" max="15" width="10.25"/>
    <col customWidth="1" min="16" max="26" width="8.75"/>
  </cols>
  <sheetData>
    <row r="1" ht="12.75" customHeight="1">
      <c r="A1" s="120"/>
      <c r="B1" s="121"/>
      <c r="C1" s="121"/>
      <c r="D1" s="121"/>
      <c r="E1" s="121"/>
      <c r="F1" s="121"/>
      <c r="G1" s="122"/>
      <c r="H1" s="123"/>
      <c r="I1" s="123"/>
      <c r="J1" s="123"/>
      <c r="K1" s="123"/>
    </row>
    <row r="2" ht="12.75" customHeight="1">
      <c r="A2" s="124"/>
      <c r="B2" s="123"/>
      <c r="C2" s="123"/>
      <c r="D2" s="123"/>
      <c r="E2" s="123"/>
      <c r="F2" s="123"/>
      <c r="G2" s="125"/>
      <c r="H2" s="123"/>
      <c r="I2" s="123"/>
      <c r="J2" s="123"/>
      <c r="K2" s="123"/>
    </row>
    <row r="3" ht="12.75" customHeight="1">
      <c r="A3" s="124"/>
      <c r="B3" s="123"/>
      <c r="C3" s="123"/>
      <c r="D3" s="123"/>
      <c r="E3" s="123"/>
      <c r="F3" s="123"/>
      <c r="G3" s="125"/>
      <c r="H3" s="123"/>
      <c r="I3" s="123"/>
      <c r="J3" s="123"/>
      <c r="K3" s="123"/>
    </row>
    <row r="4" ht="12.75" customHeight="1">
      <c r="A4" s="126"/>
      <c r="B4" s="123"/>
      <c r="C4" s="123"/>
      <c r="D4" s="123"/>
      <c r="E4" s="123"/>
      <c r="F4" s="123"/>
      <c r="G4" s="125"/>
      <c r="H4" s="127"/>
      <c r="I4" s="127"/>
      <c r="J4" s="123"/>
      <c r="K4" s="123"/>
    </row>
    <row r="5" ht="12.75" customHeight="1">
      <c r="A5" s="128" t="s">
        <v>99</v>
      </c>
      <c r="G5" s="45"/>
      <c r="H5" s="47"/>
      <c r="I5" s="47"/>
      <c r="J5" s="47"/>
      <c r="K5" s="47"/>
    </row>
    <row r="6" ht="12.75" customHeight="1">
      <c r="A6" s="44" t="s">
        <v>100</v>
      </c>
      <c r="G6" s="48"/>
      <c r="H6" s="47"/>
      <c r="I6" s="47"/>
      <c r="J6" s="47"/>
      <c r="K6" s="47"/>
    </row>
    <row r="7" ht="12.75" customHeight="1">
      <c r="A7" s="126"/>
      <c r="B7" s="123"/>
      <c r="C7" s="123"/>
      <c r="D7" s="123"/>
      <c r="E7" s="123"/>
      <c r="F7" s="123"/>
      <c r="G7" s="125"/>
      <c r="H7" s="123"/>
      <c r="I7" s="123"/>
      <c r="J7" s="123"/>
      <c r="K7" s="123"/>
    </row>
    <row r="8" ht="32.25" customHeight="1">
      <c r="A8" s="129" t="s">
        <v>101</v>
      </c>
      <c r="D8" s="130" t="str">
        <f>'Recursos Humanos'!E12</f>
        <v>Salud</v>
      </c>
      <c r="G8" s="64"/>
      <c r="H8" s="56"/>
      <c r="I8" s="123"/>
      <c r="J8" s="123"/>
      <c r="K8" s="123"/>
    </row>
    <row r="9" ht="32.25" customHeight="1">
      <c r="A9" s="131" t="s">
        <v>102</v>
      </c>
      <c r="B9" s="132">
        <f>'Recursos Humanos'!N11</f>
        <v>400000</v>
      </c>
      <c r="C9" s="5"/>
      <c r="D9" s="6"/>
      <c r="E9" s="133" t="s">
        <v>103</v>
      </c>
      <c r="F9" s="134" t="s">
        <v>104</v>
      </c>
      <c r="G9" s="135"/>
      <c r="H9" s="56"/>
      <c r="I9" s="123"/>
      <c r="J9" s="123"/>
      <c r="K9" s="123"/>
      <c r="L9" s="18"/>
    </row>
    <row r="10" ht="12.75" customHeight="1">
      <c r="A10" s="126"/>
      <c r="B10" s="136"/>
      <c r="C10" s="123"/>
      <c r="D10" s="123"/>
      <c r="E10" s="137"/>
      <c r="F10" s="123"/>
      <c r="G10" s="125"/>
      <c r="H10" s="123"/>
      <c r="I10" s="123"/>
      <c r="J10" s="123"/>
      <c r="K10" s="123"/>
    </row>
    <row r="11" ht="27.0" customHeight="1">
      <c r="A11" s="133" t="s">
        <v>105</v>
      </c>
      <c r="B11" s="138" t="s">
        <v>106</v>
      </c>
      <c r="C11" s="5"/>
      <c r="D11" s="6"/>
      <c r="E11" s="133" t="s">
        <v>107</v>
      </c>
      <c r="F11" s="133" t="s">
        <v>108</v>
      </c>
      <c r="G11" s="133" t="s">
        <v>109</v>
      </c>
      <c r="H11" s="66"/>
      <c r="I11" s="24"/>
      <c r="J11" s="139"/>
      <c r="K11" s="139"/>
      <c r="L11" s="140">
        <f>SUM(F21,F97)</f>
        <v>0</v>
      </c>
      <c r="M11" s="140">
        <f>IF(B8="Social humanística",B9*0.2,B9*0.2)</f>
        <v>80000</v>
      </c>
      <c r="N11" s="139"/>
      <c r="O11" s="139"/>
      <c r="P11" s="139"/>
      <c r="Q11" s="139"/>
      <c r="R11" s="139"/>
      <c r="S11" s="139"/>
      <c r="T11" s="139"/>
      <c r="U11" s="139"/>
      <c r="V11" s="139"/>
      <c r="W11" s="139"/>
      <c r="X11" s="139"/>
      <c r="Y11" s="139"/>
      <c r="Z11" s="139"/>
    </row>
    <row r="12" ht="12.75" customHeight="1">
      <c r="A12" s="141"/>
      <c r="B12" s="142" t="s">
        <v>110</v>
      </c>
      <c r="C12" s="143"/>
      <c r="D12" s="144"/>
      <c r="E12" s="145"/>
      <c r="F12" s="146"/>
      <c r="G12" s="147">
        <f>SUM(F13,F21,F48,F97)</f>
        <v>300214.5</v>
      </c>
      <c r="L12" s="148">
        <f>G12*0.3</f>
        <v>90064.35</v>
      </c>
      <c r="M12" s="148">
        <f>'Recursos Humanos'!N11</f>
        <v>400000</v>
      </c>
      <c r="N12" s="148">
        <f>M12*0.3</f>
        <v>120000</v>
      </c>
      <c r="O12" s="100"/>
    </row>
    <row r="13" ht="37.5" customHeight="1">
      <c r="A13" s="149" t="s">
        <v>111</v>
      </c>
      <c r="B13" s="150" t="s">
        <v>112</v>
      </c>
      <c r="C13" s="143"/>
      <c r="D13" s="144"/>
      <c r="E13" s="151"/>
      <c r="F13" s="152">
        <f>+SUM(E14:E20)</f>
        <v>300214.5</v>
      </c>
      <c r="G13" s="153"/>
    </row>
    <row r="14" ht="30.75" customHeight="1">
      <c r="A14" s="154" t="s">
        <v>113</v>
      </c>
      <c r="B14" s="155" t="s">
        <v>114</v>
      </c>
      <c r="C14" s="5"/>
      <c r="D14" s="6"/>
      <c r="E14" s="156">
        <f>'Recursos Humanos'!P34</f>
        <v>162500</v>
      </c>
      <c r="F14" s="157"/>
      <c r="G14" s="158">
        <f>'Recursos Humanos'!P34</f>
        <v>162500</v>
      </c>
    </row>
    <row r="15" ht="12.75" customHeight="1">
      <c r="A15" s="154" t="s">
        <v>115</v>
      </c>
      <c r="B15" s="155" t="s">
        <v>116</v>
      </c>
      <c r="C15" s="5"/>
      <c r="D15" s="6"/>
      <c r="E15" s="159"/>
      <c r="F15" s="157"/>
      <c r="G15" s="160"/>
    </row>
    <row r="16" ht="12.75" customHeight="1">
      <c r="A16" s="154" t="s">
        <v>117</v>
      </c>
      <c r="B16" s="155" t="s">
        <v>118</v>
      </c>
      <c r="C16" s="5"/>
      <c r="D16" s="6"/>
      <c r="E16" s="156">
        <f>'Recursos Humanos'!P35</f>
        <v>16296</v>
      </c>
      <c r="F16" s="157"/>
      <c r="G16" s="158">
        <f>'Recursos Humanos'!P35</f>
        <v>16296</v>
      </c>
    </row>
    <row r="17" ht="12.75" customHeight="1">
      <c r="A17" s="154" t="s">
        <v>119</v>
      </c>
      <c r="B17" s="155" t="s">
        <v>120</v>
      </c>
      <c r="C17" s="5"/>
      <c r="D17" s="6"/>
      <c r="E17" s="156">
        <f>+'Recursos Humanos'!P36</f>
        <v>16296</v>
      </c>
      <c r="F17" s="157"/>
      <c r="G17" s="161">
        <f>'Recursos Humanos'!P36</f>
        <v>16296</v>
      </c>
    </row>
    <row r="18" ht="12.75" customHeight="1">
      <c r="A18" s="154" t="s">
        <v>121</v>
      </c>
      <c r="B18" s="155" t="s">
        <v>122</v>
      </c>
      <c r="C18" s="5"/>
      <c r="D18" s="6"/>
      <c r="E18" s="156">
        <f>+'Recursos Humanos'!P37</f>
        <v>33042</v>
      </c>
      <c r="F18" s="157"/>
      <c r="G18" s="158">
        <f>'Recursos Humanos'!P37</f>
        <v>33042</v>
      </c>
    </row>
    <row r="19" ht="12.75" customHeight="1">
      <c r="A19" s="154" t="s">
        <v>123</v>
      </c>
      <c r="B19" s="155" t="s">
        <v>124</v>
      </c>
      <c r="C19" s="5"/>
      <c r="D19" s="6"/>
      <c r="E19" s="156">
        <f>+'Recursos Humanos'!P38</f>
        <v>17187.5</v>
      </c>
      <c r="F19" s="157"/>
      <c r="G19" s="161">
        <f>'Recursos Humanos'!P38</f>
        <v>17187.5</v>
      </c>
    </row>
    <row r="20" ht="12.75" customHeight="1">
      <c r="A20" s="154" t="s">
        <v>125</v>
      </c>
      <c r="B20" s="155" t="s">
        <v>126</v>
      </c>
      <c r="C20" s="5"/>
      <c r="D20" s="6"/>
      <c r="E20" s="156">
        <f>+'Recursos Humanos'!P39</f>
        <v>54893</v>
      </c>
      <c r="F20" s="157"/>
      <c r="G20" s="161">
        <f>'Recursos Humanos'!P39</f>
        <v>54893</v>
      </c>
    </row>
    <row r="21" ht="12.75" customHeight="1">
      <c r="A21" s="162" t="s">
        <v>127</v>
      </c>
      <c r="B21" s="163" t="s">
        <v>128</v>
      </c>
      <c r="C21" s="5"/>
      <c r="D21" s="6"/>
      <c r="E21" s="164"/>
      <c r="F21" s="152">
        <f>SUM(E22:E47)</f>
        <v>0</v>
      </c>
      <c r="G21" s="165"/>
    </row>
    <row r="22" ht="20.25" customHeight="1">
      <c r="A22" s="166" t="s">
        <v>129</v>
      </c>
      <c r="B22" s="167"/>
      <c r="C22" s="5"/>
      <c r="D22" s="6"/>
      <c r="E22" s="164"/>
      <c r="F22" s="168"/>
      <c r="G22" s="161" t="str">
        <f t="shared" ref="G22:G47" si="1">E22</f>
        <v/>
      </c>
    </row>
    <row r="23" ht="26.25" customHeight="1">
      <c r="A23" s="166" t="s">
        <v>130</v>
      </c>
      <c r="B23" s="167"/>
      <c r="C23" s="5"/>
      <c r="D23" s="6"/>
      <c r="E23" s="164"/>
      <c r="F23" s="168"/>
      <c r="G23" s="161" t="str">
        <f t="shared" si="1"/>
        <v/>
      </c>
    </row>
    <row r="24" ht="20.25" customHeight="1">
      <c r="A24" s="166" t="s">
        <v>131</v>
      </c>
      <c r="B24" s="167"/>
      <c r="C24" s="5"/>
      <c r="D24" s="6"/>
      <c r="E24" s="164"/>
      <c r="F24" s="168"/>
      <c r="G24" s="161" t="str">
        <f t="shared" si="1"/>
        <v/>
      </c>
    </row>
    <row r="25" ht="20.25" customHeight="1">
      <c r="A25" s="166" t="s">
        <v>132</v>
      </c>
      <c r="B25" s="167"/>
      <c r="C25" s="5"/>
      <c r="D25" s="6"/>
      <c r="E25" s="164"/>
      <c r="F25" s="168"/>
      <c r="G25" s="161" t="str">
        <f t="shared" si="1"/>
        <v/>
      </c>
    </row>
    <row r="26" ht="20.25" customHeight="1">
      <c r="A26" s="166" t="s">
        <v>133</v>
      </c>
      <c r="B26" s="167"/>
      <c r="C26" s="5"/>
      <c r="D26" s="6"/>
      <c r="E26" s="164"/>
      <c r="F26" s="168"/>
      <c r="G26" s="161" t="str">
        <f t="shared" si="1"/>
        <v/>
      </c>
    </row>
    <row r="27" ht="20.25" customHeight="1">
      <c r="A27" s="166" t="s">
        <v>134</v>
      </c>
      <c r="B27" s="167"/>
      <c r="C27" s="5"/>
      <c r="D27" s="6"/>
      <c r="E27" s="164"/>
      <c r="F27" s="168"/>
      <c r="G27" s="161" t="str">
        <f t="shared" si="1"/>
        <v/>
      </c>
    </row>
    <row r="28" ht="20.25" customHeight="1">
      <c r="A28" s="166" t="s">
        <v>135</v>
      </c>
      <c r="B28" s="167"/>
      <c r="C28" s="5"/>
      <c r="D28" s="6"/>
      <c r="E28" s="164"/>
      <c r="F28" s="168"/>
      <c r="G28" s="161" t="str">
        <f t="shared" si="1"/>
        <v/>
      </c>
    </row>
    <row r="29" ht="20.25" customHeight="1">
      <c r="A29" s="166" t="s">
        <v>136</v>
      </c>
      <c r="B29" s="167"/>
      <c r="C29" s="5"/>
      <c r="D29" s="6"/>
      <c r="E29" s="164"/>
      <c r="F29" s="168"/>
      <c r="G29" s="161" t="str">
        <f t="shared" si="1"/>
        <v/>
      </c>
    </row>
    <row r="30" ht="20.25" customHeight="1">
      <c r="A30" s="166" t="s">
        <v>137</v>
      </c>
      <c r="B30" s="167"/>
      <c r="C30" s="5"/>
      <c r="D30" s="6"/>
      <c r="E30" s="164"/>
      <c r="F30" s="168"/>
      <c r="G30" s="161" t="str">
        <f t="shared" si="1"/>
        <v/>
      </c>
    </row>
    <row r="31" ht="20.25" customHeight="1">
      <c r="A31" s="166" t="s">
        <v>138</v>
      </c>
      <c r="B31" s="167"/>
      <c r="C31" s="5"/>
      <c r="D31" s="6"/>
      <c r="E31" s="164"/>
      <c r="F31" s="168"/>
      <c r="G31" s="161" t="str">
        <f t="shared" si="1"/>
        <v/>
      </c>
    </row>
    <row r="32" ht="27.75" customHeight="1">
      <c r="A32" s="166" t="s">
        <v>139</v>
      </c>
      <c r="B32" s="167"/>
      <c r="C32" s="5"/>
      <c r="D32" s="6"/>
      <c r="E32" s="164"/>
      <c r="F32" s="168"/>
      <c r="G32" s="161" t="str">
        <f t="shared" si="1"/>
        <v/>
      </c>
    </row>
    <row r="33" ht="33.0" customHeight="1">
      <c r="A33" s="166" t="s">
        <v>140</v>
      </c>
      <c r="B33" s="167"/>
      <c r="C33" s="5"/>
      <c r="D33" s="6"/>
      <c r="E33" s="164"/>
      <c r="F33" s="168"/>
      <c r="G33" s="161" t="str">
        <f t="shared" si="1"/>
        <v/>
      </c>
    </row>
    <row r="34" ht="30.0" customHeight="1">
      <c r="A34" s="166" t="s">
        <v>141</v>
      </c>
      <c r="B34" s="167"/>
      <c r="C34" s="5"/>
      <c r="D34" s="6"/>
      <c r="E34" s="164"/>
      <c r="F34" s="168"/>
      <c r="G34" s="161" t="str">
        <f t="shared" si="1"/>
        <v/>
      </c>
    </row>
    <row r="35" ht="27.0" customHeight="1">
      <c r="A35" s="166" t="s">
        <v>142</v>
      </c>
      <c r="B35" s="167"/>
      <c r="C35" s="5"/>
      <c r="D35" s="6"/>
      <c r="E35" s="164"/>
      <c r="F35" s="168"/>
      <c r="G35" s="161" t="str">
        <f t="shared" si="1"/>
        <v/>
      </c>
    </row>
    <row r="36" ht="27.0" customHeight="1">
      <c r="A36" s="166" t="s">
        <v>143</v>
      </c>
      <c r="B36" s="167"/>
      <c r="C36" s="5"/>
      <c r="D36" s="6"/>
      <c r="E36" s="164"/>
      <c r="F36" s="168"/>
      <c r="G36" s="161" t="str">
        <f t="shared" si="1"/>
        <v/>
      </c>
    </row>
    <row r="37" ht="27.0" customHeight="1">
      <c r="A37" s="166" t="s">
        <v>144</v>
      </c>
      <c r="B37" s="167"/>
      <c r="C37" s="5"/>
      <c r="D37" s="6"/>
      <c r="E37" s="164"/>
      <c r="F37" s="168"/>
      <c r="G37" s="161" t="str">
        <f t="shared" si="1"/>
        <v/>
      </c>
    </row>
    <row r="38" ht="32.25" customHeight="1">
      <c r="A38" s="166" t="s">
        <v>145</v>
      </c>
      <c r="B38" s="167"/>
      <c r="C38" s="5"/>
      <c r="D38" s="6"/>
      <c r="E38" s="164"/>
      <c r="F38" s="168"/>
      <c r="G38" s="161" t="str">
        <f t="shared" si="1"/>
        <v/>
      </c>
    </row>
    <row r="39" ht="27.0" customHeight="1">
      <c r="A39" s="166" t="s">
        <v>146</v>
      </c>
      <c r="B39" s="167"/>
      <c r="C39" s="5"/>
      <c r="D39" s="6"/>
      <c r="E39" s="164"/>
      <c r="F39" s="168"/>
      <c r="G39" s="161" t="str">
        <f t="shared" si="1"/>
        <v/>
      </c>
    </row>
    <row r="40" ht="20.25" customHeight="1">
      <c r="A40" s="166" t="s">
        <v>147</v>
      </c>
      <c r="B40" s="167"/>
      <c r="C40" s="5"/>
      <c r="D40" s="6"/>
      <c r="E40" s="164"/>
      <c r="F40" s="168"/>
      <c r="G40" s="161" t="str">
        <f t="shared" si="1"/>
        <v/>
      </c>
    </row>
    <row r="41" ht="27.0" customHeight="1">
      <c r="A41" s="166" t="s">
        <v>148</v>
      </c>
      <c r="B41" s="167"/>
      <c r="C41" s="5"/>
      <c r="D41" s="6"/>
      <c r="E41" s="164"/>
      <c r="F41" s="168"/>
      <c r="G41" s="161" t="str">
        <f t="shared" si="1"/>
        <v/>
      </c>
    </row>
    <row r="42" ht="20.25" customHeight="1">
      <c r="A42" s="166" t="s">
        <v>149</v>
      </c>
      <c r="B42" s="167"/>
      <c r="C42" s="5"/>
      <c r="D42" s="6"/>
      <c r="E42" s="164"/>
      <c r="F42" s="168"/>
      <c r="G42" s="161" t="str">
        <f t="shared" si="1"/>
        <v/>
      </c>
    </row>
    <row r="43" ht="27.0" customHeight="1">
      <c r="A43" s="166" t="s">
        <v>150</v>
      </c>
      <c r="B43" s="167"/>
      <c r="C43" s="5"/>
      <c r="D43" s="6"/>
      <c r="E43" s="164"/>
      <c r="F43" s="168"/>
      <c r="G43" s="161" t="str">
        <f t="shared" si="1"/>
        <v/>
      </c>
    </row>
    <row r="44" ht="25.5" customHeight="1">
      <c r="A44" s="166" t="s">
        <v>151</v>
      </c>
      <c r="B44" s="167"/>
      <c r="C44" s="5"/>
      <c r="D44" s="6"/>
      <c r="E44" s="164"/>
      <c r="F44" s="168"/>
      <c r="G44" s="161" t="str">
        <f t="shared" si="1"/>
        <v/>
      </c>
    </row>
    <row r="45" ht="29.25" customHeight="1">
      <c r="A45" s="166" t="s">
        <v>152</v>
      </c>
      <c r="B45" s="167"/>
      <c r="C45" s="5"/>
      <c r="D45" s="6"/>
      <c r="E45" s="164"/>
      <c r="F45" s="168"/>
      <c r="G45" s="161" t="str">
        <f t="shared" si="1"/>
        <v/>
      </c>
    </row>
    <row r="46" ht="20.25" customHeight="1">
      <c r="A46" s="166" t="s">
        <v>153</v>
      </c>
      <c r="B46" s="167"/>
      <c r="C46" s="5"/>
      <c r="D46" s="6"/>
      <c r="E46" s="164"/>
      <c r="F46" s="168"/>
      <c r="G46" s="161" t="str">
        <f t="shared" si="1"/>
        <v/>
      </c>
    </row>
    <row r="47" ht="20.25" customHeight="1">
      <c r="A47" s="166" t="s">
        <v>154</v>
      </c>
      <c r="B47" s="167"/>
      <c r="C47" s="5"/>
      <c r="D47" s="6"/>
      <c r="E47" s="164"/>
      <c r="F47" s="168"/>
      <c r="G47" s="161" t="str">
        <f t="shared" si="1"/>
        <v/>
      </c>
    </row>
    <row r="48" ht="12.75" customHeight="1">
      <c r="A48" s="168" t="s">
        <v>155</v>
      </c>
      <c r="B48" s="163" t="s">
        <v>156</v>
      </c>
      <c r="C48" s="5"/>
      <c r="D48" s="6"/>
      <c r="E48" s="164"/>
      <c r="F48" s="152">
        <f>+SUM(E49:E96)</f>
        <v>0</v>
      </c>
      <c r="G48" s="161"/>
    </row>
    <row r="49" ht="20.25" customHeight="1">
      <c r="A49" s="166" t="s">
        <v>157</v>
      </c>
      <c r="B49" s="169"/>
      <c r="C49" s="5"/>
      <c r="D49" s="6"/>
      <c r="E49" s="164"/>
      <c r="F49" s="168"/>
      <c r="G49" s="161" t="str">
        <f t="shared" ref="G49:G96" si="2">E49</f>
        <v/>
      </c>
    </row>
    <row r="50" ht="20.25" customHeight="1">
      <c r="A50" s="166" t="s">
        <v>158</v>
      </c>
      <c r="B50" s="169"/>
      <c r="C50" s="5"/>
      <c r="D50" s="6"/>
      <c r="E50" s="164"/>
      <c r="F50" s="168"/>
      <c r="G50" s="161" t="str">
        <f t="shared" si="2"/>
        <v/>
      </c>
    </row>
    <row r="51" ht="20.25" customHeight="1">
      <c r="A51" s="166" t="s">
        <v>159</v>
      </c>
      <c r="B51" s="169"/>
      <c r="C51" s="5"/>
      <c r="D51" s="6"/>
      <c r="E51" s="164"/>
      <c r="F51" s="168"/>
      <c r="G51" s="161" t="str">
        <f t="shared" si="2"/>
        <v/>
      </c>
    </row>
    <row r="52" ht="31.5" customHeight="1">
      <c r="A52" s="166" t="s">
        <v>160</v>
      </c>
      <c r="B52" s="169"/>
      <c r="C52" s="5"/>
      <c r="D52" s="6"/>
      <c r="E52" s="164"/>
      <c r="F52" s="168"/>
      <c r="G52" s="161" t="str">
        <f t="shared" si="2"/>
        <v/>
      </c>
    </row>
    <row r="53" ht="31.5" customHeight="1">
      <c r="A53" s="166" t="s">
        <v>161</v>
      </c>
      <c r="B53" s="169"/>
      <c r="C53" s="5"/>
      <c r="D53" s="6"/>
      <c r="E53" s="164"/>
      <c r="F53" s="168"/>
      <c r="G53" s="161" t="str">
        <f t="shared" si="2"/>
        <v/>
      </c>
    </row>
    <row r="54" ht="31.5" customHeight="1">
      <c r="A54" s="166" t="s">
        <v>162</v>
      </c>
      <c r="B54" s="169"/>
      <c r="C54" s="5"/>
      <c r="D54" s="6"/>
      <c r="E54" s="164"/>
      <c r="F54" s="168"/>
      <c r="G54" s="161" t="str">
        <f t="shared" si="2"/>
        <v/>
      </c>
    </row>
    <row r="55" ht="20.25" customHeight="1">
      <c r="A55" s="166" t="s">
        <v>163</v>
      </c>
      <c r="B55" s="169"/>
      <c r="C55" s="5"/>
      <c r="D55" s="6"/>
      <c r="E55" s="164"/>
      <c r="F55" s="168"/>
      <c r="G55" s="161" t="str">
        <f t="shared" si="2"/>
        <v/>
      </c>
    </row>
    <row r="56" ht="20.25" customHeight="1">
      <c r="A56" s="166" t="s">
        <v>164</v>
      </c>
      <c r="B56" s="169"/>
      <c r="C56" s="5"/>
      <c r="D56" s="6"/>
      <c r="E56" s="164"/>
      <c r="F56" s="168"/>
      <c r="G56" s="161" t="str">
        <f t="shared" si="2"/>
        <v/>
      </c>
    </row>
    <row r="57" ht="20.25" customHeight="1">
      <c r="A57" s="166" t="s">
        <v>165</v>
      </c>
      <c r="B57" s="169"/>
      <c r="C57" s="5"/>
      <c r="D57" s="6"/>
      <c r="E57" s="164"/>
      <c r="F57" s="168"/>
      <c r="G57" s="161" t="str">
        <f t="shared" si="2"/>
        <v/>
      </c>
    </row>
    <row r="58" ht="20.25" customHeight="1">
      <c r="A58" s="166" t="s">
        <v>166</v>
      </c>
      <c r="B58" s="169"/>
      <c r="C58" s="5"/>
      <c r="D58" s="6"/>
      <c r="E58" s="164"/>
      <c r="F58" s="168"/>
      <c r="G58" s="161" t="str">
        <f t="shared" si="2"/>
        <v/>
      </c>
    </row>
    <row r="59" ht="20.25" customHeight="1">
      <c r="A59" s="166" t="s">
        <v>167</v>
      </c>
      <c r="B59" s="169"/>
      <c r="C59" s="5"/>
      <c r="D59" s="6"/>
      <c r="E59" s="164"/>
      <c r="F59" s="168"/>
      <c r="G59" s="161" t="str">
        <f t="shared" si="2"/>
        <v/>
      </c>
    </row>
    <row r="60" ht="20.25" customHeight="1">
      <c r="A60" s="166" t="s">
        <v>168</v>
      </c>
      <c r="B60" s="169"/>
      <c r="C60" s="5"/>
      <c r="D60" s="6"/>
      <c r="E60" s="164"/>
      <c r="F60" s="168"/>
      <c r="G60" s="161" t="str">
        <f t="shared" si="2"/>
        <v/>
      </c>
    </row>
    <row r="61" ht="20.25" customHeight="1">
      <c r="A61" s="166" t="s">
        <v>169</v>
      </c>
      <c r="B61" s="169"/>
      <c r="C61" s="5"/>
      <c r="D61" s="6"/>
      <c r="E61" s="164"/>
      <c r="F61" s="168"/>
      <c r="G61" s="161" t="str">
        <f t="shared" si="2"/>
        <v/>
      </c>
    </row>
    <row r="62" ht="20.25" customHeight="1">
      <c r="A62" s="166" t="s">
        <v>170</v>
      </c>
      <c r="B62" s="169"/>
      <c r="C62" s="5"/>
      <c r="D62" s="6"/>
      <c r="E62" s="164"/>
      <c r="F62" s="168"/>
      <c r="G62" s="161" t="str">
        <f t="shared" si="2"/>
        <v/>
      </c>
    </row>
    <row r="63" ht="20.25" customHeight="1">
      <c r="A63" s="166" t="s">
        <v>171</v>
      </c>
      <c r="B63" s="169"/>
      <c r="C63" s="5"/>
      <c r="D63" s="6"/>
      <c r="E63" s="164"/>
      <c r="F63" s="168"/>
      <c r="G63" s="161" t="str">
        <f t="shared" si="2"/>
        <v/>
      </c>
    </row>
    <row r="64" ht="20.25" customHeight="1">
      <c r="A64" s="166" t="s">
        <v>172</v>
      </c>
      <c r="B64" s="169"/>
      <c r="C64" s="5"/>
      <c r="D64" s="6"/>
      <c r="E64" s="164"/>
      <c r="F64" s="168"/>
      <c r="G64" s="161" t="str">
        <f t="shared" si="2"/>
        <v/>
      </c>
    </row>
    <row r="65" ht="20.25" customHeight="1">
      <c r="A65" s="166" t="s">
        <v>173</v>
      </c>
      <c r="B65" s="169"/>
      <c r="C65" s="5"/>
      <c r="D65" s="6"/>
      <c r="E65" s="164"/>
      <c r="F65" s="168"/>
      <c r="G65" s="161" t="str">
        <f t="shared" si="2"/>
        <v/>
      </c>
    </row>
    <row r="66" ht="20.25" customHeight="1">
      <c r="A66" s="166" t="s">
        <v>174</v>
      </c>
      <c r="B66" s="169"/>
      <c r="C66" s="5"/>
      <c r="D66" s="6"/>
      <c r="E66" s="164"/>
      <c r="F66" s="168"/>
      <c r="G66" s="161" t="str">
        <f t="shared" si="2"/>
        <v/>
      </c>
    </row>
    <row r="67" ht="20.25" customHeight="1">
      <c r="A67" s="166" t="s">
        <v>175</v>
      </c>
      <c r="B67" s="169"/>
      <c r="C67" s="5"/>
      <c r="D67" s="6"/>
      <c r="E67" s="164"/>
      <c r="F67" s="168"/>
      <c r="G67" s="161" t="str">
        <f t="shared" si="2"/>
        <v/>
      </c>
    </row>
    <row r="68" ht="20.25" customHeight="1">
      <c r="A68" s="166" t="s">
        <v>176</v>
      </c>
      <c r="B68" s="169"/>
      <c r="C68" s="5"/>
      <c r="D68" s="6"/>
      <c r="E68" s="164"/>
      <c r="F68" s="168"/>
      <c r="G68" s="161" t="str">
        <f t="shared" si="2"/>
        <v/>
      </c>
    </row>
    <row r="69" ht="20.25" customHeight="1">
      <c r="A69" s="166" t="s">
        <v>177</v>
      </c>
      <c r="B69" s="169"/>
      <c r="C69" s="5"/>
      <c r="D69" s="6"/>
      <c r="E69" s="164"/>
      <c r="F69" s="168"/>
      <c r="G69" s="161" t="str">
        <f t="shared" si="2"/>
        <v/>
      </c>
    </row>
    <row r="70" ht="20.25" customHeight="1">
      <c r="A70" s="166" t="s">
        <v>178</v>
      </c>
      <c r="B70" s="169"/>
      <c r="C70" s="5"/>
      <c r="D70" s="6"/>
      <c r="E70" s="164"/>
      <c r="F70" s="168"/>
      <c r="G70" s="161" t="str">
        <f t="shared" si="2"/>
        <v/>
      </c>
    </row>
    <row r="71" ht="20.25" customHeight="1">
      <c r="A71" s="166" t="s">
        <v>179</v>
      </c>
      <c r="B71" s="169"/>
      <c r="C71" s="5"/>
      <c r="D71" s="6"/>
      <c r="E71" s="164"/>
      <c r="F71" s="168"/>
      <c r="G71" s="161" t="str">
        <f t="shared" si="2"/>
        <v/>
      </c>
    </row>
    <row r="72" ht="20.25" customHeight="1">
      <c r="A72" s="166" t="s">
        <v>180</v>
      </c>
      <c r="B72" s="169"/>
      <c r="C72" s="5"/>
      <c r="D72" s="6"/>
      <c r="E72" s="164"/>
      <c r="F72" s="168"/>
      <c r="G72" s="161" t="str">
        <f t="shared" si="2"/>
        <v/>
      </c>
    </row>
    <row r="73" ht="20.25" customHeight="1">
      <c r="A73" s="166" t="s">
        <v>181</v>
      </c>
      <c r="B73" s="169"/>
      <c r="C73" s="5"/>
      <c r="D73" s="6"/>
      <c r="E73" s="164"/>
      <c r="F73" s="168"/>
      <c r="G73" s="161" t="str">
        <f t="shared" si="2"/>
        <v/>
      </c>
    </row>
    <row r="74" ht="20.25" customHeight="1">
      <c r="A74" s="166" t="s">
        <v>182</v>
      </c>
      <c r="B74" s="169"/>
      <c r="C74" s="5"/>
      <c r="D74" s="6"/>
      <c r="E74" s="164"/>
      <c r="F74" s="168"/>
      <c r="G74" s="161" t="str">
        <f t="shared" si="2"/>
        <v/>
      </c>
    </row>
    <row r="75" ht="20.25" customHeight="1">
      <c r="A75" s="166" t="s">
        <v>183</v>
      </c>
      <c r="B75" s="169"/>
      <c r="C75" s="5"/>
      <c r="D75" s="6"/>
      <c r="E75" s="164"/>
      <c r="F75" s="168"/>
      <c r="G75" s="161" t="str">
        <f t="shared" si="2"/>
        <v/>
      </c>
    </row>
    <row r="76" ht="20.25" customHeight="1">
      <c r="A76" s="166" t="s">
        <v>184</v>
      </c>
      <c r="B76" s="169"/>
      <c r="C76" s="5"/>
      <c r="D76" s="6"/>
      <c r="E76" s="164"/>
      <c r="F76" s="168"/>
      <c r="G76" s="161" t="str">
        <f t="shared" si="2"/>
        <v/>
      </c>
    </row>
    <row r="77" ht="20.25" customHeight="1">
      <c r="A77" s="166" t="s">
        <v>185</v>
      </c>
      <c r="B77" s="169"/>
      <c r="C77" s="5"/>
      <c r="D77" s="6"/>
      <c r="E77" s="164"/>
      <c r="F77" s="168"/>
      <c r="G77" s="161" t="str">
        <f t="shared" si="2"/>
        <v/>
      </c>
    </row>
    <row r="78" ht="20.25" customHeight="1">
      <c r="A78" s="166" t="s">
        <v>186</v>
      </c>
      <c r="B78" s="169"/>
      <c r="C78" s="5"/>
      <c r="D78" s="6"/>
      <c r="E78" s="164"/>
      <c r="F78" s="168"/>
      <c r="G78" s="161" t="str">
        <f t="shared" si="2"/>
        <v/>
      </c>
    </row>
    <row r="79" ht="20.25" customHeight="1">
      <c r="A79" s="166" t="s">
        <v>187</v>
      </c>
      <c r="B79" s="169"/>
      <c r="C79" s="5"/>
      <c r="D79" s="6"/>
      <c r="E79" s="164"/>
      <c r="F79" s="168"/>
      <c r="G79" s="161" t="str">
        <f t="shared" si="2"/>
        <v/>
      </c>
    </row>
    <row r="80" ht="20.25" customHeight="1">
      <c r="A80" s="166" t="s">
        <v>188</v>
      </c>
      <c r="B80" s="169"/>
      <c r="C80" s="5"/>
      <c r="D80" s="6"/>
      <c r="E80" s="164"/>
      <c r="F80" s="168"/>
      <c r="G80" s="161" t="str">
        <f t="shared" si="2"/>
        <v/>
      </c>
    </row>
    <row r="81" ht="20.25" customHeight="1">
      <c r="A81" s="166" t="s">
        <v>189</v>
      </c>
      <c r="B81" s="169"/>
      <c r="C81" s="5"/>
      <c r="D81" s="6"/>
      <c r="E81" s="164"/>
      <c r="F81" s="168"/>
      <c r="G81" s="161" t="str">
        <f t="shared" si="2"/>
        <v/>
      </c>
    </row>
    <row r="82" ht="30.0" customHeight="1">
      <c r="A82" s="166" t="s">
        <v>190</v>
      </c>
      <c r="B82" s="169"/>
      <c r="C82" s="5"/>
      <c r="D82" s="6"/>
      <c r="E82" s="164"/>
      <c r="F82" s="168"/>
      <c r="G82" s="161" t="str">
        <f t="shared" si="2"/>
        <v/>
      </c>
    </row>
    <row r="83" ht="20.25" customHeight="1">
      <c r="A83" s="166" t="s">
        <v>191</v>
      </c>
      <c r="B83" s="169"/>
      <c r="C83" s="5"/>
      <c r="D83" s="6"/>
      <c r="E83" s="164"/>
      <c r="F83" s="168"/>
      <c r="G83" s="161" t="str">
        <f t="shared" si="2"/>
        <v/>
      </c>
    </row>
    <row r="84" ht="20.25" customHeight="1">
      <c r="A84" s="166" t="s">
        <v>192</v>
      </c>
      <c r="B84" s="169"/>
      <c r="C84" s="5"/>
      <c r="D84" s="6"/>
      <c r="E84" s="164"/>
      <c r="F84" s="168"/>
      <c r="G84" s="161" t="str">
        <f t="shared" si="2"/>
        <v/>
      </c>
    </row>
    <row r="85" ht="24.0" customHeight="1">
      <c r="A85" s="166" t="s">
        <v>193</v>
      </c>
      <c r="B85" s="169"/>
      <c r="C85" s="5"/>
      <c r="D85" s="6"/>
      <c r="E85" s="164"/>
      <c r="F85" s="170"/>
      <c r="G85" s="161" t="str">
        <f t="shared" si="2"/>
        <v/>
      </c>
    </row>
    <row r="86" ht="27.75" customHeight="1">
      <c r="A86" s="166" t="s">
        <v>194</v>
      </c>
      <c r="B86" s="169"/>
      <c r="C86" s="5"/>
      <c r="D86" s="6"/>
      <c r="E86" s="164"/>
      <c r="F86" s="170"/>
      <c r="G86" s="161" t="str">
        <f t="shared" si="2"/>
        <v/>
      </c>
    </row>
    <row r="87" ht="27.0" customHeight="1">
      <c r="A87" s="166" t="s">
        <v>195</v>
      </c>
      <c r="B87" s="169"/>
      <c r="C87" s="5"/>
      <c r="D87" s="6"/>
      <c r="E87" s="164"/>
      <c r="F87" s="170"/>
      <c r="G87" s="161" t="str">
        <f t="shared" si="2"/>
        <v/>
      </c>
    </row>
    <row r="88" ht="27.0" customHeight="1">
      <c r="A88" s="166" t="s">
        <v>196</v>
      </c>
      <c r="B88" s="169"/>
      <c r="C88" s="5"/>
      <c r="D88" s="6"/>
      <c r="E88" s="164"/>
      <c r="F88" s="168"/>
      <c r="G88" s="161" t="str">
        <f t="shared" si="2"/>
        <v/>
      </c>
      <c r="H88" s="139"/>
      <c r="I88" s="139"/>
    </row>
    <row r="89" ht="28.5" customHeight="1">
      <c r="A89" s="166" t="s">
        <v>197</v>
      </c>
      <c r="B89" s="169"/>
      <c r="C89" s="5"/>
      <c r="D89" s="6"/>
      <c r="E89" s="164"/>
      <c r="F89" s="170"/>
      <c r="G89" s="161" t="str">
        <f t="shared" si="2"/>
        <v/>
      </c>
      <c r="H89" s="139"/>
      <c r="I89" s="139"/>
    </row>
    <row r="90" ht="27.0" customHeight="1">
      <c r="A90" s="166" t="s">
        <v>198</v>
      </c>
      <c r="B90" s="169"/>
      <c r="C90" s="5"/>
      <c r="D90" s="6"/>
      <c r="E90" s="164"/>
      <c r="F90" s="170"/>
      <c r="G90" s="161" t="str">
        <f t="shared" si="2"/>
        <v/>
      </c>
      <c r="N90" s="139"/>
      <c r="O90" s="139"/>
    </row>
    <row r="91" ht="27.75" customHeight="1">
      <c r="A91" s="166" t="s">
        <v>199</v>
      </c>
      <c r="B91" s="169"/>
      <c r="C91" s="5"/>
      <c r="D91" s="6"/>
      <c r="E91" s="164"/>
      <c r="F91" s="170"/>
      <c r="G91" s="161" t="str">
        <f t="shared" si="2"/>
        <v/>
      </c>
      <c r="N91" s="139"/>
      <c r="O91" s="139"/>
    </row>
    <row r="92" ht="27.75" customHeight="1">
      <c r="A92" s="166" t="s">
        <v>200</v>
      </c>
      <c r="B92" s="169"/>
      <c r="C92" s="5"/>
      <c r="D92" s="6"/>
      <c r="E92" s="164"/>
      <c r="F92" s="170"/>
      <c r="G92" s="161" t="str">
        <f t="shared" si="2"/>
        <v/>
      </c>
      <c r="N92" s="139"/>
      <c r="O92" s="139"/>
    </row>
    <row r="93" ht="27.75" customHeight="1">
      <c r="A93" s="166" t="s">
        <v>201</v>
      </c>
      <c r="B93" s="169"/>
      <c r="C93" s="5"/>
      <c r="D93" s="6"/>
      <c r="E93" s="164"/>
      <c r="F93" s="170"/>
      <c r="G93" s="161" t="str">
        <f t="shared" si="2"/>
        <v/>
      </c>
      <c r="N93" s="139"/>
      <c r="O93" s="139"/>
    </row>
    <row r="94" ht="27.75" customHeight="1">
      <c r="A94" s="166" t="s">
        <v>202</v>
      </c>
      <c r="B94" s="169"/>
      <c r="C94" s="5"/>
      <c r="D94" s="6"/>
      <c r="E94" s="164"/>
      <c r="F94" s="170"/>
      <c r="G94" s="161" t="str">
        <f t="shared" si="2"/>
        <v/>
      </c>
      <c r="N94" s="139"/>
      <c r="O94" s="139"/>
    </row>
    <row r="95" ht="27.75" customHeight="1">
      <c r="A95" s="166" t="s">
        <v>203</v>
      </c>
      <c r="B95" s="169"/>
      <c r="C95" s="5"/>
      <c r="D95" s="6"/>
      <c r="E95" s="164"/>
      <c r="F95" s="170"/>
      <c r="G95" s="161" t="str">
        <f t="shared" si="2"/>
        <v/>
      </c>
      <c r="N95" s="139"/>
      <c r="O95" s="139"/>
    </row>
    <row r="96" ht="28.5" customHeight="1">
      <c r="A96" s="166" t="s">
        <v>204</v>
      </c>
      <c r="B96" s="169"/>
      <c r="C96" s="5"/>
      <c r="D96" s="6"/>
      <c r="E96" s="164"/>
      <c r="F96" s="170"/>
      <c r="G96" s="161" t="str">
        <f t="shared" si="2"/>
        <v/>
      </c>
      <c r="N96" s="139"/>
      <c r="O96" s="139"/>
    </row>
    <row r="97" ht="28.5" customHeight="1">
      <c r="A97" s="171" t="s">
        <v>205</v>
      </c>
      <c r="B97" s="172" t="s">
        <v>206</v>
      </c>
      <c r="C97" s="5"/>
      <c r="D97" s="6"/>
      <c r="E97" s="173"/>
      <c r="F97" s="152">
        <f>+SUM(E98:E104)</f>
        <v>0</v>
      </c>
      <c r="G97" s="161"/>
      <c r="H97" s="123"/>
      <c r="N97" s="139"/>
      <c r="O97" s="139"/>
    </row>
    <row r="98" ht="27.75" customHeight="1">
      <c r="A98" s="166" t="s">
        <v>207</v>
      </c>
      <c r="B98" s="169"/>
      <c r="C98" s="5"/>
      <c r="D98" s="6"/>
      <c r="E98" s="164"/>
      <c r="F98" s="173"/>
      <c r="G98" s="161" t="str">
        <f t="shared" ref="G98:G104" si="3">E98</f>
        <v/>
      </c>
      <c r="H98" s="123"/>
      <c r="N98" s="139"/>
      <c r="O98" s="139"/>
    </row>
    <row r="99" ht="27.75" customHeight="1">
      <c r="A99" s="166" t="s">
        <v>208</v>
      </c>
      <c r="B99" s="169"/>
      <c r="C99" s="5"/>
      <c r="D99" s="6"/>
      <c r="E99" s="164"/>
      <c r="F99" s="173"/>
      <c r="G99" s="161" t="str">
        <f t="shared" si="3"/>
        <v/>
      </c>
      <c r="H99" s="123"/>
      <c r="N99" s="139"/>
      <c r="O99" s="139"/>
    </row>
    <row r="100" ht="27.0" customHeight="1">
      <c r="A100" s="166" t="s">
        <v>209</v>
      </c>
      <c r="B100" s="169"/>
      <c r="C100" s="5"/>
      <c r="D100" s="6"/>
      <c r="E100" s="164"/>
      <c r="F100" s="174"/>
      <c r="G100" s="161" t="str">
        <f t="shared" si="3"/>
        <v/>
      </c>
      <c r="H100" s="123"/>
      <c r="N100" s="139"/>
      <c r="O100" s="139"/>
    </row>
    <row r="101" ht="27.0" customHeight="1">
      <c r="A101" s="166" t="s">
        <v>210</v>
      </c>
      <c r="B101" s="169"/>
      <c r="C101" s="5"/>
      <c r="D101" s="6"/>
      <c r="E101" s="164"/>
      <c r="F101" s="173"/>
      <c r="G101" s="161" t="str">
        <f t="shared" si="3"/>
        <v/>
      </c>
      <c r="H101" s="123"/>
      <c r="O101" s="139"/>
    </row>
    <row r="102" ht="27.0" customHeight="1">
      <c r="A102" s="166" t="s">
        <v>211</v>
      </c>
      <c r="B102" s="169"/>
      <c r="C102" s="5"/>
      <c r="D102" s="6"/>
      <c r="E102" s="164"/>
      <c r="F102" s="173"/>
      <c r="G102" s="161" t="str">
        <f t="shared" si="3"/>
        <v/>
      </c>
      <c r="H102" s="123"/>
      <c r="O102" s="139"/>
    </row>
    <row r="103" ht="27.0" customHeight="1">
      <c r="A103" s="166" t="s">
        <v>212</v>
      </c>
      <c r="B103" s="169"/>
      <c r="C103" s="5"/>
      <c r="D103" s="6"/>
      <c r="E103" s="164"/>
      <c r="F103" s="173"/>
      <c r="G103" s="161" t="str">
        <f t="shared" si="3"/>
        <v/>
      </c>
      <c r="H103" s="123"/>
      <c r="O103" s="139"/>
    </row>
    <row r="104" ht="20.25" customHeight="1">
      <c r="A104" s="166" t="s">
        <v>213</v>
      </c>
      <c r="B104" s="169"/>
      <c r="C104" s="5"/>
      <c r="D104" s="6"/>
      <c r="E104" s="164"/>
      <c r="F104" s="173"/>
      <c r="G104" s="161" t="str">
        <f t="shared" si="3"/>
        <v/>
      </c>
      <c r="H104" s="123"/>
      <c r="O104" s="139"/>
    </row>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sheetData>
  <mergeCells count="99">
    <mergeCell ref="B55:D55"/>
    <mergeCell ref="B56:D56"/>
    <mergeCell ref="B57:D57"/>
    <mergeCell ref="B58:D58"/>
    <mergeCell ref="B59:D59"/>
    <mergeCell ref="B60:D60"/>
    <mergeCell ref="B61:D61"/>
    <mergeCell ref="B62:D62"/>
    <mergeCell ref="B63:D63"/>
    <mergeCell ref="B64:D64"/>
    <mergeCell ref="B65:D65"/>
    <mergeCell ref="B66:D66"/>
    <mergeCell ref="B67:D67"/>
    <mergeCell ref="B68:D68"/>
    <mergeCell ref="B69:D69"/>
    <mergeCell ref="B70:D70"/>
    <mergeCell ref="B71:D71"/>
    <mergeCell ref="B72:D72"/>
    <mergeCell ref="B73:D73"/>
    <mergeCell ref="B74:D74"/>
    <mergeCell ref="B75:D75"/>
    <mergeCell ref="B76:D76"/>
    <mergeCell ref="B77:D77"/>
    <mergeCell ref="B78:D78"/>
    <mergeCell ref="B79:D79"/>
    <mergeCell ref="B80:D80"/>
    <mergeCell ref="B81:D81"/>
    <mergeCell ref="B82:D82"/>
    <mergeCell ref="B83:D83"/>
    <mergeCell ref="B84:D84"/>
    <mergeCell ref="B85:D85"/>
    <mergeCell ref="B86:D86"/>
    <mergeCell ref="B87:D87"/>
    <mergeCell ref="B88:D88"/>
    <mergeCell ref="B89:D89"/>
    <mergeCell ref="B97:D97"/>
    <mergeCell ref="B98:D98"/>
    <mergeCell ref="B99:D99"/>
    <mergeCell ref="B100:D100"/>
    <mergeCell ref="B101:D101"/>
    <mergeCell ref="B102:D102"/>
    <mergeCell ref="B103:D103"/>
    <mergeCell ref="B104:D104"/>
    <mergeCell ref="B90:D90"/>
    <mergeCell ref="B91:D91"/>
    <mergeCell ref="B92:D92"/>
    <mergeCell ref="B93:D93"/>
    <mergeCell ref="B94:D94"/>
    <mergeCell ref="B95:D95"/>
    <mergeCell ref="B96:D96"/>
    <mergeCell ref="A5:G5"/>
    <mergeCell ref="A6:F6"/>
    <mergeCell ref="A8:C8"/>
    <mergeCell ref="D8:F8"/>
    <mergeCell ref="B9:D9"/>
    <mergeCell ref="B11:D11"/>
    <mergeCell ref="B12:D12"/>
    <mergeCell ref="B13:D13"/>
    <mergeCell ref="B14:D14"/>
    <mergeCell ref="B15:D15"/>
    <mergeCell ref="B16:D16"/>
    <mergeCell ref="B17:D17"/>
    <mergeCell ref="B18:D18"/>
    <mergeCell ref="B19:D19"/>
    <mergeCell ref="B20:D20"/>
    <mergeCell ref="B21:D21"/>
    <mergeCell ref="B22:D22"/>
    <mergeCell ref="B23:D23"/>
    <mergeCell ref="B24:D24"/>
    <mergeCell ref="B25:D25"/>
    <mergeCell ref="B26:D26"/>
    <mergeCell ref="B27:D27"/>
    <mergeCell ref="B28:D28"/>
    <mergeCell ref="B29:D29"/>
    <mergeCell ref="B30:D30"/>
    <mergeCell ref="B31:D31"/>
    <mergeCell ref="B32:D32"/>
    <mergeCell ref="B33:D33"/>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B51:D51"/>
    <mergeCell ref="B52:D52"/>
    <mergeCell ref="B53:D53"/>
    <mergeCell ref="B54:D54"/>
  </mergeCells>
  <conditionalFormatting sqref="G9">
    <cfRule type="containsText" dxfId="3" priority="1" operator="containsText" text="menor">
      <formula>NOT(ISERROR(SEARCH(("menor"),(G9))))</formula>
    </cfRule>
  </conditionalFormatting>
  <conditionalFormatting sqref="G9">
    <cfRule type="containsText" dxfId="4" priority="2" operator="containsText" text="mayor">
      <formula>NOT(ISERROR(SEARCH(("mayor"),(G9))))</formula>
    </cfRule>
  </conditionalFormatting>
  <conditionalFormatting sqref="G9">
    <cfRule type="cellIs" dxfId="5" priority="3" operator="equal">
      <formula>"Correcto"</formula>
    </cfRule>
  </conditionalFormatting>
  <printOptions verticalCentered="1"/>
  <pageMargins bottom="0.3937007874015748" footer="0.0" header="0.0" left="0.5905511811023623" right="0.1968503937007874" top="0.0"/>
  <pageSetup orientation="portrait"/>
  <colBreaks count="1" manualBreakCount="1">
    <brk id="7" man="1"/>
  </colBreaks>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0.63"/>
    <col customWidth="1" min="2" max="2" width="37.25"/>
    <col customWidth="1" min="3" max="3" width="150.25"/>
    <col customWidth="1" min="4" max="26" width="10.63"/>
  </cols>
  <sheetData>
    <row r="1" ht="12.75" customHeight="1">
      <c r="B1" s="175" t="s">
        <v>214</v>
      </c>
      <c r="C1" s="175" t="s">
        <v>215</v>
      </c>
    </row>
    <row r="2" ht="12.75" customHeight="1">
      <c r="A2" s="2">
        <v>328.0</v>
      </c>
      <c r="B2" s="176" t="s">
        <v>216</v>
      </c>
      <c r="C2" s="177" t="s">
        <v>217</v>
      </c>
    </row>
    <row r="3" ht="12.75" customHeight="1">
      <c r="A3" s="2">
        <v>328.0</v>
      </c>
      <c r="B3" s="176" t="s">
        <v>218</v>
      </c>
      <c r="C3" s="177" t="s">
        <v>219</v>
      </c>
    </row>
    <row r="4" ht="12.75" customHeight="1">
      <c r="A4" s="2">
        <v>328.0</v>
      </c>
      <c r="B4" s="176" t="s">
        <v>220</v>
      </c>
      <c r="C4" s="177" t="s">
        <v>221</v>
      </c>
    </row>
    <row r="5" ht="17.25" customHeight="1">
      <c r="A5" s="2">
        <v>328.0</v>
      </c>
      <c r="B5" s="176" t="s">
        <v>222</v>
      </c>
      <c r="C5" s="177" t="s">
        <v>223</v>
      </c>
    </row>
    <row r="6" ht="17.25" customHeight="1">
      <c r="A6" s="2">
        <v>328.0</v>
      </c>
      <c r="B6" s="176" t="s">
        <v>224</v>
      </c>
      <c r="C6" s="177" t="s">
        <v>225</v>
      </c>
    </row>
    <row r="7" ht="12.75" customHeight="1">
      <c r="A7" s="2">
        <v>328.0</v>
      </c>
      <c r="B7" s="176" t="s">
        <v>226</v>
      </c>
      <c r="C7" s="177" t="s">
        <v>227</v>
      </c>
    </row>
    <row r="8" ht="12.75" customHeight="1">
      <c r="A8" s="2">
        <v>328.0</v>
      </c>
      <c r="B8" s="176" t="s">
        <v>228</v>
      </c>
      <c r="C8" s="177" t="s">
        <v>229</v>
      </c>
    </row>
    <row r="9" ht="12.75" customHeight="1">
      <c r="A9" s="2">
        <v>324.0</v>
      </c>
      <c r="B9" s="176" t="s">
        <v>230</v>
      </c>
      <c r="C9" s="177" t="s">
        <v>231</v>
      </c>
    </row>
    <row r="10" ht="12.75" customHeight="1">
      <c r="A10" s="2">
        <v>329.0</v>
      </c>
      <c r="B10" s="176" t="s">
        <v>232</v>
      </c>
      <c r="C10" s="177" t="s">
        <v>233</v>
      </c>
    </row>
    <row r="11" ht="12.75" customHeight="1"/>
    <row r="12" ht="12.75" customHeight="1"/>
    <row r="13" ht="12.75" customHeight="1">
      <c r="B13" s="176" t="s">
        <v>234</v>
      </c>
      <c r="C13" s="178" t="s">
        <v>235</v>
      </c>
    </row>
    <row r="14" ht="12.75" customHeight="1">
      <c r="C14" s="178" t="s">
        <v>236</v>
      </c>
    </row>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hyperlinks>
    <hyperlink r:id="rId1" ref="C13"/>
    <hyperlink r:id="rId2" ref="C14"/>
  </hyperlinks>
  <printOptions/>
  <pageMargins bottom="0.75" footer="0.0" header="0.0" left="0.7" right="0.7" top="0.75"/>
  <pageSetup orientation="landscape"/>
  <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25"/>
    <col customWidth="1" min="2" max="2" width="9.5"/>
    <col customWidth="1" min="3" max="3" width="6.25"/>
    <col customWidth="1" min="4" max="4" width="6.75"/>
    <col customWidth="1" min="5" max="5" width="7.0"/>
    <col customWidth="1" min="6" max="6" width="7.75"/>
    <col customWidth="1" min="7" max="7" width="6.5"/>
    <col customWidth="1" min="8" max="8" width="7.5"/>
    <col customWidth="1" min="9" max="9" width="10.25"/>
    <col customWidth="1" min="10" max="11" width="8.25"/>
    <col customWidth="1" min="12" max="12" width="9.25"/>
    <col customWidth="1" min="13" max="13" width="11.25"/>
    <col customWidth="1" min="14" max="14" width="8.25"/>
    <col customWidth="1" min="15" max="26" width="8.75"/>
  </cols>
  <sheetData>
    <row r="1" ht="12.75" customHeight="1">
      <c r="A1" s="2" t="s">
        <v>237</v>
      </c>
    </row>
    <row r="2" ht="12.75" customHeight="1">
      <c r="A2" s="2" t="s">
        <v>238</v>
      </c>
    </row>
    <row r="3" ht="12.75" customHeight="1">
      <c r="A3" s="2" t="s">
        <v>239</v>
      </c>
    </row>
    <row r="4" ht="12.75" customHeight="1">
      <c r="H4" s="39" t="s">
        <v>240</v>
      </c>
      <c r="I4" s="179"/>
      <c r="J4" s="180"/>
      <c r="K4" s="180"/>
    </row>
    <row r="5" ht="12.75" customHeight="1">
      <c r="I5" s="39"/>
      <c r="J5" s="39"/>
      <c r="K5" s="39"/>
    </row>
    <row r="6" ht="12.75" customHeight="1">
      <c r="A6" s="181" t="s">
        <v>241</v>
      </c>
    </row>
    <row r="7" ht="12.75" customHeight="1">
      <c r="A7" s="175"/>
      <c r="B7" s="175"/>
      <c r="C7" s="175"/>
      <c r="D7" s="175"/>
      <c r="E7" s="175"/>
      <c r="F7" s="175"/>
      <c r="G7" s="175"/>
      <c r="H7" s="175"/>
      <c r="I7" s="175"/>
      <c r="J7" s="175"/>
      <c r="K7" s="175"/>
      <c r="L7" s="175"/>
      <c r="M7" s="175"/>
    </row>
    <row r="8" ht="12.75" customHeight="1">
      <c r="A8" s="175" t="s">
        <v>242</v>
      </c>
    </row>
    <row r="9" ht="12.75" customHeight="1"/>
    <row r="10" ht="12.75" customHeight="1">
      <c r="A10" s="182"/>
      <c r="B10" s="182"/>
      <c r="C10" s="182"/>
      <c r="D10" s="182"/>
      <c r="E10" s="182"/>
      <c r="F10" s="182"/>
      <c r="G10" s="182"/>
      <c r="H10" s="182"/>
      <c r="I10" s="182"/>
      <c r="J10" s="182"/>
      <c r="K10" s="182"/>
      <c r="N10" s="24"/>
    </row>
    <row r="11" ht="12.75" customHeight="1">
      <c r="A11" s="2" t="s">
        <v>243</v>
      </c>
      <c r="F11" s="183" t="s">
        <v>244</v>
      </c>
      <c r="G11" s="5"/>
      <c r="H11" s="5"/>
      <c r="I11" s="5"/>
      <c r="J11" s="5"/>
      <c r="K11" s="5"/>
      <c r="L11" s="5"/>
      <c r="M11" s="6"/>
    </row>
    <row r="12" ht="12.75" customHeight="1">
      <c r="A12" s="2" t="s">
        <v>245</v>
      </c>
      <c r="F12" s="184"/>
      <c r="G12" s="184"/>
      <c r="H12" s="184"/>
      <c r="I12" s="184"/>
      <c r="J12" s="184"/>
      <c r="K12" s="184"/>
      <c r="L12" s="184"/>
      <c r="M12" s="184"/>
    </row>
    <row r="13" ht="12.75" customHeight="1">
      <c r="A13" s="2" t="s">
        <v>246</v>
      </c>
      <c r="F13" s="185"/>
      <c r="G13" s="186"/>
      <c r="H13" s="186"/>
      <c r="I13" s="187"/>
      <c r="J13" s="187"/>
      <c r="K13" s="187"/>
      <c r="L13" s="187"/>
      <c r="M13" s="187"/>
    </row>
    <row r="14" ht="12.75" customHeight="1">
      <c r="G14" s="188"/>
      <c r="H14" s="188"/>
    </row>
    <row r="15" ht="12.75" customHeight="1">
      <c r="G15" s="188"/>
      <c r="H15" s="188"/>
    </row>
    <row r="16" ht="12.75" customHeight="1"/>
    <row r="17" ht="12.75" customHeight="1"/>
    <row r="18" ht="12.75" customHeight="1">
      <c r="A18" s="24" t="s">
        <v>247</v>
      </c>
    </row>
    <row r="19" ht="12.75" customHeight="1">
      <c r="A19" s="24" t="s">
        <v>248</v>
      </c>
    </row>
    <row r="20" ht="12.75" customHeight="1">
      <c r="A20" s="2" t="s">
        <v>249</v>
      </c>
    </row>
    <row r="21" ht="12.75" customHeight="1">
      <c r="A21" s="24" t="s">
        <v>250</v>
      </c>
      <c r="D21" s="2" t="s">
        <v>251</v>
      </c>
      <c r="F21" s="24" t="s">
        <v>252</v>
      </c>
      <c r="H21" s="2" t="s">
        <v>253</v>
      </c>
      <c r="L21" s="24" t="s">
        <v>254</v>
      </c>
    </row>
    <row r="22" ht="12.75" customHeight="1">
      <c r="A22" s="24" t="s">
        <v>255</v>
      </c>
      <c r="B22" s="24" t="s">
        <v>256</v>
      </c>
      <c r="D22" s="2" t="s">
        <v>257</v>
      </c>
      <c r="E22" s="2" t="s">
        <v>258</v>
      </c>
      <c r="F22" s="24">
        <v>2008.0</v>
      </c>
      <c r="G22" s="24">
        <v>2009.0</v>
      </c>
      <c r="H22" s="24" t="s">
        <v>259</v>
      </c>
      <c r="I22" s="24" t="s">
        <v>260</v>
      </c>
      <c r="J22" s="24" t="s">
        <v>79</v>
      </c>
      <c r="K22" s="24" t="s">
        <v>261</v>
      </c>
      <c r="L22" s="2" t="s">
        <v>262</v>
      </c>
      <c r="M22" s="2" t="s">
        <v>263</v>
      </c>
    </row>
    <row r="23" ht="12.75" customHeight="1">
      <c r="A23" s="189"/>
      <c r="B23" s="190"/>
      <c r="C23" s="186"/>
      <c r="D23" s="191"/>
      <c r="E23" s="191"/>
      <c r="F23" s="191"/>
      <c r="G23" s="189"/>
      <c r="H23" s="192"/>
      <c r="I23" s="192"/>
      <c r="J23" s="193" t="str">
        <f t="shared" ref="J23:J27" si="1">+G23</f>
        <v/>
      </c>
      <c r="K23" s="193">
        <f t="shared" ref="K23:K27" si="2">+IF(I23&gt;0,MONTH(I23)-MONTH(H23)+1,0)</f>
        <v>0</v>
      </c>
      <c r="L23" s="194">
        <f t="shared" ref="L23:L27" si="3">+E23*G23</f>
        <v>0</v>
      </c>
      <c r="M23" s="194">
        <f t="shared" ref="M23:M27" si="4">+L23*(MONTH(I23)-MONTH(H23)+1)</f>
        <v>0</v>
      </c>
    </row>
    <row r="24" ht="12.75" customHeight="1">
      <c r="A24" s="189"/>
      <c r="B24" s="190"/>
      <c r="C24" s="186"/>
      <c r="D24" s="191"/>
      <c r="E24" s="191"/>
      <c r="F24" s="191"/>
      <c r="G24" s="189"/>
      <c r="H24" s="192"/>
      <c r="I24" s="192"/>
      <c r="J24" s="193" t="str">
        <f t="shared" si="1"/>
        <v/>
      </c>
      <c r="K24" s="193">
        <f t="shared" si="2"/>
        <v>0</v>
      </c>
      <c r="L24" s="194">
        <f t="shared" si="3"/>
        <v>0</v>
      </c>
      <c r="M24" s="194">
        <f t="shared" si="4"/>
        <v>0</v>
      </c>
    </row>
    <row r="25" ht="12.75" customHeight="1">
      <c r="A25" s="189"/>
      <c r="B25" s="190"/>
      <c r="C25" s="186"/>
      <c r="D25" s="191"/>
      <c r="E25" s="191"/>
      <c r="F25" s="191"/>
      <c r="G25" s="189"/>
      <c r="H25" s="192"/>
      <c r="I25" s="192"/>
      <c r="J25" s="193" t="str">
        <f t="shared" si="1"/>
        <v/>
      </c>
      <c r="K25" s="193">
        <f t="shared" si="2"/>
        <v>0</v>
      </c>
      <c r="L25" s="194">
        <f t="shared" si="3"/>
        <v>0</v>
      </c>
      <c r="M25" s="194">
        <f t="shared" si="4"/>
        <v>0</v>
      </c>
    </row>
    <row r="26" ht="12.75" customHeight="1">
      <c r="A26" s="189"/>
      <c r="B26" s="190"/>
      <c r="C26" s="186"/>
      <c r="D26" s="191"/>
      <c r="E26" s="191"/>
      <c r="F26" s="191"/>
      <c r="G26" s="189"/>
      <c r="H26" s="192"/>
      <c r="I26" s="192"/>
      <c r="J26" s="193" t="str">
        <f t="shared" si="1"/>
        <v/>
      </c>
      <c r="K26" s="193">
        <f t="shared" si="2"/>
        <v>0</v>
      </c>
      <c r="L26" s="194">
        <f t="shared" si="3"/>
        <v>0</v>
      </c>
      <c r="M26" s="194">
        <f t="shared" si="4"/>
        <v>0</v>
      </c>
    </row>
    <row r="27" ht="12.75" customHeight="1">
      <c r="A27" s="189"/>
      <c r="B27" s="190"/>
      <c r="C27" s="186"/>
      <c r="D27" s="191"/>
      <c r="E27" s="191"/>
      <c r="F27" s="191"/>
      <c r="G27" s="189"/>
      <c r="H27" s="192"/>
      <c r="I27" s="192"/>
      <c r="J27" s="193" t="str">
        <f t="shared" si="1"/>
        <v/>
      </c>
      <c r="K27" s="193">
        <f t="shared" si="2"/>
        <v>0</v>
      </c>
      <c r="L27" s="194">
        <f t="shared" si="3"/>
        <v>0</v>
      </c>
      <c r="M27" s="194">
        <f t="shared" si="4"/>
        <v>0</v>
      </c>
    </row>
    <row r="28" ht="12.75" customHeight="1">
      <c r="A28" s="2" t="s">
        <v>264</v>
      </c>
      <c r="H28" s="193"/>
      <c r="I28" s="193"/>
      <c r="J28" s="193"/>
      <c r="K28" s="193"/>
    </row>
    <row r="29" ht="12.75" customHeight="1">
      <c r="A29" s="2" t="s">
        <v>250</v>
      </c>
      <c r="C29" s="2" t="s">
        <v>265</v>
      </c>
      <c r="D29" s="2" t="s">
        <v>251</v>
      </c>
      <c r="F29" s="24" t="s">
        <v>252</v>
      </c>
      <c r="H29" s="2" t="s">
        <v>253</v>
      </c>
      <c r="L29" s="24" t="s">
        <v>254</v>
      </c>
    </row>
    <row r="30" ht="12.75" customHeight="1">
      <c r="A30" s="2" t="s">
        <v>255</v>
      </c>
      <c r="B30" s="2" t="s">
        <v>256</v>
      </c>
      <c r="C30" s="2" t="s">
        <v>266</v>
      </c>
      <c r="D30" s="2" t="s">
        <v>257</v>
      </c>
      <c r="E30" s="2" t="s">
        <v>258</v>
      </c>
      <c r="F30" s="2">
        <v>2008.0</v>
      </c>
      <c r="G30" s="2">
        <v>2009.0</v>
      </c>
      <c r="H30" s="2" t="s">
        <v>259</v>
      </c>
      <c r="I30" s="2" t="s">
        <v>260</v>
      </c>
      <c r="L30" s="2" t="s">
        <v>262</v>
      </c>
      <c r="M30" s="2" t="s">
        <v>263</v>
      </c>
    </row>
    <row r="31" ht="12.75" customHeight="1">
      <c r="A31" s="189"/>
      <c r="B31" s="191"/>
      <c r="C31" s="189"/>
      <c r="D31" s="191"/>
      <c r="E31" s="191"/>
      <c r="F31" s="189"/>
      <c r="G31" s="189"/>
      <c r="H31" s="192"/>
      <c r="I31" s="192"/>
      <c r="J31" s="193">
        <f t="shared" ref="J31:J35" si="5">+G31-F31</f>
        <v>0</v>
      </c>
      <c r="K31" s="193">
        <f t="shared" ref="K31:K35" si="6">+IF(I31&gt;0,MONTH(I31)-MONTH(H31)+1,0)</f>
        <v>0</v>
      </c>
      <c r="L31" s="194">
        <f t="shared" ref="L31:L35" si="7">+E31*(G31-F31)</f>
        <v>0</v>
      </c>
      <c r="M31" s="194">
        <f>L31*(MONTH(I31)-MONTH(H31)+1)</f>
        <v>0</v>
      </c>
    </row>
    <row r="32" ht="12.75" customHeight="1">
      <c r="A32" s="189"/>
      <c r="B32" s="191"/>
      <c r="C32" s="189"/>
      <c r="D32" s="191"/>
      <c r="E32" s="191"/>
      <c r="F32" s="191"/>
      <c r="G32" s="191"/>
      <c r="H32" s="192"/>
      <c r="I32" s="192"/>
      <c r="J32" s="193">
        <f t="shared" si="5"/>
        <v>0</v>
      </c>
      <c r="K32" s="193">
        <f t="shared" si="6"/>
        <v>0</v>
      </c>
      <c r="L32" s="194">
        <f t="shared" si="7"/>
        <v>0</v>
      </c>
      <c r="M32" s="194">
        <f t="shared" ref="M32:M35" si="8">L32*(I32-H32+1)</f>
        <v>0</v>
      </c>
    </row>
    <row r="33" ht="12.75" customHeight="1">
      <c r="A33" s="189"/>
      <c r="B33" s="191"/>
      <c r="C33" s="189"/>
      <c r="D33" s="191"/>
      <c r="E33" s="191"/>
      <c r="F33" s="191"/>
      <c r="G33" s="191"/>
      <c r="H33" s="192"/>
      <c r="I33" s="192"/>
      <c r="J33" s="193">
        <f t="shared" si="5"/>
        <v>0</v>
      </c>
      <c r="K33" s="193">
        <f t="shared" si="6"/>
        <v>0</v>
      </c>
      <c r="L33" s="194">
        <f t="shared" si="7"/>
        <v>0</v>
      </c>
      <c r="M33" s="194">
        <f t="shared" si="8"/>
        <v>0</v>
      </c>
    </row>
    <row r="34" ht="12.75" customHeight="1">
      <c r="A34" s="189"/>
      <c r="B34" s="191"/>
      <c r="C34" s="189"/>
      <c r="D34" s="191"/>
      <c r="E34" s="191"/>
      <c r="F34" s="191"/>
      <c r="G34" s="191"/>
      <c r="H34" s="192"/>
      <c r="I34" s="192"/>
      <c r="J34" s="193">
        <f t="shared" si="5"/>
        <v>0</v>
      </c>
      <c r="K34" s="193">
        <f t="shared" si="6"/>
        <v>0</v>
      </c>
      <c r="L34" s="194">
        <f t="shared" si="7"/>
        <v>0</v>
      </c>
      <c r="M34" s="194">
        <f t="shared" si="8"/>
        <v>0</v>
      </c>
    </row>
    <row r="35" ht="12.75" customHeight="1">
      <c r="A35" s="189"/>
      <c r="B35" s="191"/>
      <c r="C35" s="189"/>
      <c r="D35" s="191"/>
      <c r="E35" s="191"/>
      <c r="F35" s="191"/>
      <c r="G35" s="191"/>
      <c r="H35" s="192"/>
      <c r="I35" s="192"/>
      <c r="J35" s="193">
        <f t="shared" si="5"/>
        <v>0</v>
      </c>
      <c r="K35" s="193">
        <f t="shared" si="6"/>
        <v>0</v>
      </c>
      <c r="L35" s="194">
        <f t="shared" si="7"/>
        <v>0</v>
      </c>
      <c r="M35" s="194">
        <f t="shared" si="8"/>
        <v>0</v>
      </c>
    </row>
    <row r="36" ht="12.75" customHeight="1">
      <c r="D36" s="193"/>
      <c r="K36" s="193">
        <f>SUM(K23:K27)+SUM(K31:K35)</f>
        <v>0</v>
      </c>
      <c r="L36" s="39" t="s">
        <v>267</v>
      </c>
      <c r="M36" s="194">
        <f>SUM(M23:M27)+SUM(M31:M35)</f>
        <v>0</v>
      </c>
    </row>
    <row r="37" ht="12.75" customHeight="1">
      <c r="C37" s="39" t="s">
        <v>268</v>
      </c>
      <c r="D37" s="193">
        <f>+SUMPRODUCT(J23:J27,K23:K27)+SUMPRODUCT(J31:J35,K31:K35)</f>
        <v>0</v>
      </c>
      <c r="E37" s="2" t="s">
        <v>124</v>
      </c>
      <c r="G37" s="2">
        <f>+D37*31.25</f>
        <v>0</v>
      </c>
      <c r="L37" s="39" t="s">
        <v>269</v>
      </c>
      <c r="M37" s="194">
        <f>+INT((G37+M36*0.741689)+0.99)</f>
        <v>0</v>
      </c>
    </row>
    <row r="38" ht="12.75" customHeight="1">
      <c r="L38" s="39" t="s">
        <v>270</v>
      </c>
      <c r="M38" s="194">
        <f>SUM(M36:M37)</f>
        <v>0</v>
      </c>
    </row>
    <row r="39" ht="12.75" customHeight="1">
      <c r="A39" s="195"/>
      <c r="B39" s="195"/>
      <c r="C39" s="195"/>
      <c r="D39" s="195"/>
      <c r="E39" s="195"/>
      <c r="F39" s="195"/>
      <c r="G39" s="195"/>
      <c r="H39" s="195"/>
      <c r="I39" s="195"/>
      <c r="J39" s="195"/>
      <c r="K39" s="195"/>
      <c r="L39" s="195"/>
      <c r="M39" s="195"/>
    </row>
    <row r="40" ht="12.75" customHeight="1">
      <c r="A40" s="1" t="s">
        <v>271</v>
      </c>
    </row>
    <row r="41" ht="12.75" customHeight="1">
      <c r="I41" s="2" t="s">
        <v>272</v>
      </c>
    </row>
    <row r="42" ht="12.75" customHeight="1">
      <c r="B42" s="2" t="s">
        <v>273</v>
      </c>
      <c r="C42" s="24" t="s">
        <v>274</v>
      </c>
      <c r="H42" s="2" t="s">
        <v>275</v>
      </c>
      <c r="I42" s="39" t="s">
        <v>276</v>
      </c>
      <c r="J42" s="24" t="s">
        <v>84</v>
      </c>
      <c r="K42" s="24"/>
      <c r="L42" s="24" t="s">
        <v>84</v>
      </c>
    </row>
    <row r="43" ht="12.75" customHeight="1">
      <c r="A43" s="196"/>
      <c r="B43" s="197" t="str">
        <f t="shared" ref="B43:B44" si="9">+'Renglon 3'!E14</f>
        <v>#REF!</v>
      </c>
      <c r="C43" s="198" t="str">
        <f t="shared" ref="C43:C44" si="10">+'Renglon 3'!D14</f>
        <v>#REF!</v>
      </c>
      <c r="D43" s="198"/>
      <c r="E43" s="198"/>
      <c r="F43" s="198"/>
      <c r="G43" s="198"/>
      <c r="H43" s="197" t="str">
        <f t="shared" ref="H43:H44" si="11">+'Renglon 3'!I14</f>
        <v>#REF!</v>
      </c>
      <c r="I43" s="199" t="str">
        <f t="shared" ref="I43:I44" si="12">+'Renglon 3'!G14</f>
        <v>#REF!</v>
      </c>
      <c r="J43" s="106" t="str">
        <f t="shared" ref="J43:J45" si="13">+B43*I43</f>
        <v>#REF!</v>
      </c>
      <c r="K43" s="106"/>
      <c r="L43" s="200" t="str">
        <f t="shared" ref="L43:L45" si="14">B43*I43</f>
        <v>#REF!</v>
      </c>
    </row>
    <row r="44" ht="12.75" customHeight="1">
      <c r="A44" s="196"/>
      <c r="B44" s="197" t="str">
        <f t="shared" si="9"/>
        <v>#REF!</v>
      </c>
      <c r="C44" s="198" t="str">
        <f t="shared" si="10"/>
        <v>#REF!</v>
      </c>
      <c r="D44" s="198"/>
      <c r="E44" s="198"/>
      <c r="F44" s="198"/>
      <c r="G44" s="198"/>
      <c r="H44" s="197" t="str">
        <f t="shared" si="11"/>
        <v>#REF!</v>
      </c>
      <c r="I44" s="199" t="str">
        <f t="shared" si="12"/>
        <v>#REF!</v>
      </c>
      <c r="J44" s="106" t="str">
        <f t="shared" si="13"/>
        <v>#REF!</v>
      </c>
      <c r="K44" s="106"/>
      <c r="L44" s="200" t="str">
        <f t="shared" si="14"/>
        <v>#REF!</v>
      </c>
    </row>
    <row r="45" ht="12.75" customHeight="1">
      <c r="A45" s="196"/>
      <c r="B45" s="197" t="str">
        <f t="shared" ref="B45:B46" si="15">+'Renglon 3'!E20</f>
        <v>#REF!</v>
      </c>
      <c r="C45" s="198" t="str">
        <f t="shared" ref="C45:C46" si="16">+'Renglon 3'!D20</f>
        <v>#REF!</v>
      </c>
      <c r="D45" s="198"/>
      <c r="E45" s="198"/>
      <c r="F45" s="198"/>
      <c r="G45" s="198"/>
      <c r="H45" s="197" t="str">
        <f t="shared" ref="H45:H46" si="17">+'Renglon 3'!I17</f>
        <v>#REF!</v>
      </c>
      <c r="I45" s="199" t="str">
        <f t="shared" ref="I45:I46" si="18">+'Renglon 3'!G20</f>
        <v>#REF!</v>
      </c>
      <c r="J45" s="106" t="str">
        <f t="shared" si="13"/>
        <v>#REF!</v>
      </c>
      <c r="K45" s="106"/>
      <c r="L45" s="200" t="str">
        <f t="shared" si="14"/>
        <v>#REF!</v>
      </c>
    </row>
    <row r="46" ht="12.75" customHeight="1">
      <c r="A46" s="196"/>
      <c r="B46" s="197" t="str">
        <f t="shared" si="15"/>
        <v>#REF!</v>
      </c>
      <c r="C46" s="198" t="str">
        <f t="shared" si="16"/>
        <v>#REF!</v>
      </c>
      <c r="D46" s="198"/>
      <c r="E46" s="198"/>
      <c r="F46" s="198"/>
      <c r="G46" s="198"/>
      <c r="H46" s="197" t="str">
        <f t="shared" si="17"/>
        <v>#REF!</v>
      </c>
      <c r="I46" s="199" t="str">
        <f t="shared" si="18"/>
        <v>#REF!</v>
      </c>
      <c r="J46" s="106" t="str">
        <f t="shared" ref="J46:J47" si="19">+B45*I46</f>
        <v>#REF!</v>
      </c>
      <c r="K46" s="106"/>
      <c r="L46" s="200" t="str">
        <f t="shared" ref="L46:L47" si="20">B45*I46</f>
        <v>#REF!</v>
      </c>
    </row>
    <row r="47" ht="12.75" customHeight="1">
      <c r="A47" s="196"/>
      <c r="B47" s="197" t="str">
        <f t="shared" ref="B47:B48" si="21">+'Renglon 3'!E23</f>
        <v>#REF!</v>
      </c>
      <c r="C47" s="198" t="str">
        <f t="shared" ref="C47:C48" si="22">+'Renglon 3'!D23</f>
        <v>#REF!</v>
      </c>
      <c r="D47" s="198"/>
      <c r="E47" s="198"/>
      <c r="F47" s="198"/>
      <c r="G47" s="198"/>
      <c r="H47" s="197" t="str">
        <f t="shared" ref="H47:H48" si="23">+'Renglon 3'!I20</f>
        <v>#REF!</v>
      </c>
      <c r="I47" s="199" t="str">
        <f t="shared" ref="I47:I48" si="24">+'Renglon 3'!G23</f>
        <v>#REF!</v>
      </c>
      <c r="J47" s="106" t="str">
        <f t="shared" si="19"/>
        <v>#REF!</v>
      </c>
      <c r="K47" s="106"/>
      <c r="L47" s="200" t="str">
        <f t="shared" si="20"/>
        <v>#REF!</v>
      </c>
    </row>
    <row r="48" ht="12.75" customHeight="1">
      <c r="A48" s="196"/>
      <c r="B48" s="197" t="str">
        <f t="shared" si="21"/>
        <v>#REF!</v>
      </c>
      <c r="C48" s="198" t="str">
        <f t="shared" si="22"/>
        <v>#REF!</v>
      </c>
      <c r="D48" s="198"/>
      <c r="E48" s="198"/>
      <c r="F48" s="198"/>
      <c r="G48" s="198"/>
      <c r="H48" s="197" t="str">
        <f t="shared" si="23"/>
        <v>#REF!</v>
      </c>
      <c r="I48" s="199" t="str">
        <f t="shared" si="24"/>
        <v>#REF!</v>
      </c>
      <c r="J48" s="106" t="str">
        <f>+B48*I48</f>
        <v>#REF!</v>
      </c>
      <c r="K48" s="106"/>
      <c r="L48" s="200" t="str">
        <f>B48*I48</f>
        <v>#REF!</v>
      </c>
    </row>
    <row r="49" ht="12.75" customHeight="1">
      <c r="A49" s="196"/>
      <c r="B49" s="197" t="str">
        <f t="shared" ref="B49:B50" si="25">+'Renglon 3'!E32</f>
        <v>#REF!</v>
      </c>
      <c r="C49" s="198" t="str">
        <f t="shared" ref="C49:C50" si="26">+'Renglon 3'!D32</f>
        <v>#REF!</v>
      </c>
      <c r="D49" s="198"/>
      <c r="E49" s="198"/>
      <c r="F49" s="198"/>
      <c r="G49" s="198"/>
      <c r="H49" s="197" t="str">
        <f t="shared" ref="H49:H50" si="27">+'Renglon 3'!I23</f>
        <v>#REF!</v>
      </c>
      <c r="I49" s="199" t="str">
        <f t="shared" ref="I49:I50" si="28">+'Renglon 3'!G32</f>
        <v>#REF!</v>
      </c>
      <c r="J49" s="106" t="str">
        <f t="shared" ref="J49:J50" si="29">+B47*I49</f>
        <v>#REF!</v>
      </c>
      <c r="K49" s="106"/>
      <c r="L49" s="200" t="str">
        <f t="shared" ref="L49:L50" si="30">B47*I49</f>
        <v>#REF!</v>
      </c>
    </row>
    <row r="50" ht="12.75" customHeight="1">
      <c r="A50" s="196"/>
      <c r="B50" s="197" t="str">
        <f t="shared" si="25"/>
        <v>#REF!</v>
      </c>
      <c r="C50" s="198" t="str">
        <f t="shared" si="26"/>
        <v>#REF!</v>
      </c>
      <c r="D50" s="198"/>
      <c r="E50" s="198"/>
      <c r="F50" s="198"/>
      <c r="G50" s="198"/>
      <c r="H50" s="197" t="str">
        <f t="shared" si="27"/>
        <v>#REF!</v>
      </c>
      <c r="I50" s="199" t="str">
        <f t="shared" si="28"/>
        <v>#REF!</v>
      </c>
      <c r="J50" s="106" t="str">
        <f t="shared" si="29"/>
        <v>#REF!</v>
      </c>
      <c r="K50" s="106"/>
      <c r="L50" s="200" t="str">
        <f t="shared" si="30"/>
        <v>#REF!</v>
      </c>
    </row>
    <row r="51" ht="12.75" customHeight="1">
      <c r="A51" s="196"/>
      <c r="B51" s="197" t="str">
        <f>+'Renglon 3'!#REF!</f>
        <v>#ERROR!</v>
      </c>
      <c r="C51" s="198" t="str">
        <f>+'Renglon 3'!#REF!</f>
        <v>#ERROR!</v>
      </c>
      <c r="D51" s="198"/>
      <c r="E51" s="198"/>
      <c r="F51" s="198"/>
      <c r="G51" s="198"/>
      <c r="H51" s="197" t="str">
        <f>+'Renglon 3'!#REF!</f>
        <v>#ERROR!</v>
      </c>
      <c r="I51" s="199" t="str">
        <f>+'Renglon 3'!#REF!</f>
        <v>#ERROR!</v>
      </c>
      <c r="J51" s="106" t="str">
        <f t="shared" ref="J51:J52" si="31">+B50*I51</f>
        <v>#REF!</v>
      </c>
      <c r="K51" s="106"/>
      <c r="L51" s="200" t="str">
        <f t="shared" ref="L51:L52" si="32">B50*I51</f>
        <v>#REF!</v>
      </c>
    </row>
    <row r="52" ht="12.75" customHeight="1">
      <c r="A52" s="196"/>
      <c r="B52" s="196"/>
      <c r="C52" s="198"/>
      <c r="D52" s="198"/>
      <c r="E52" s="198"/>
      <c r="F52" s="198"/>
      <c r="G52" s="198"/>
      <c r="H52" s="197"/>
      <c r="I52" s="199"/>
      <c r="J52" s="106" t="str">
        <f t="shared" si="31"/>
        <v>#ERROR!</v>
      </c>
      <c r="K52" s="106"/>
      <c r="L52" s="200" t="str">
        <f t="shared" si="32"/>
        <v>#ERROR!</v>
      </c>
    </row>
    <row r="53" ht="12.75" customHeight="1">
      <c r="C53" s="24" t="s">
        <v>277</v>
      </c>
      <c r="J53" s="106" t="str">
        <f>SUM(J43:M52)</f>
        <v>#REF!</v>
      </c>
      <c r="K53" s="106"/>
      <c r="L53" s="200" t="str">
        <f>SUM(L43:M52)</f>
        <v>#REF!</v>
      </c>
    </row>
    <row r="54" ht="12.75" customHeight="1">
      <c r="A54" s="195"/>
      <c r="B54" s="195"/>
      <c r="C54" s="195"/>
      <c r="D54" s="195"/>
      <c r="E54" s="195"/>
      <c r="F54" s="195"/>
      <c r="G54" s="195"/>
      <c r="H54" s="195"/>
      <c r="I54" s="195"/>
      <c r="J54" s="195"/>
      <c r="K54" s="195"/>
      <c r="L54" s="195"/>
      <c r="M54" s="195"/>
    </row>
    <row r="55" ht="12.75" customHeight="1">
      <c r="A55" s="1" t="s">
        <v>278</v>
      </c>
      <c r="N55" s="56"/>
    </row>
    <row r="56" ht="15.75" customHeight="1">
      <c r="A56" s="1" t="s">
        <v>279</v>
      </c>
      <c r="N56" s="56"/>
    </row>
    <row r="57" ht="12.75" customHeight="1"/>
    <row r="58" ht="12.75" customHeight="1">
      <c r="H58" s="24" t="s">
        <v>280</v>
      </c>
      <c r="L58" s="24" t="s">
        <v>281</v>
      </c>
    </row>
    <row r="59" ht="12.75" customHeight="1">
      <c r="A59" s="2" t="s">
        <v>282</v>
      </c>
      <c r="B59" s="24" t="s">
        <v>256</v>
      </c>
      <c r="D59" s="2" t="s">
        <v>283</v>
      </c>
      <c r="H59" s="24" t="s">
        <v>80</v>
      </c>
      <c r="I59" s="24" t="s">
        <v>81</v>
      </c>
      <c r="L59" s="24" t="s">
        <v>284</v>
      </c>
      <c r="M59" s="24" t="s">
        <v>84</v>
      </c>
    </row>
    <row r="60" ht="12.75" customHeight="1">
      <c r="A60" s="197"/>
      <c r="B60" s="201"/>
      <c r="C60" s="186"/>
      <c r="D60" s="201"/>
      <c r="E60" s="186"/>
      <c r="F60" s="186"/>
      <c r="G60" s="186"/>
      <c r="H60" s="202"/>
      <c r="I60" s="202"/>
      <c r="J60" s="198"/>
      <c r="K60" s="198"/>
      <c r="L60" s="203"/>
      <c r="M60" s="194">
        <f t="shared" ref="M60:M73" si="33">+A60*(I60-H60+1)*L60</f>
        <v>0</v>
      </c>
    </row>
    <row r="61" ht="12.75" customHeight="1">
      <c r="A61" s="197"/>
      <c r="B61" s="201"/>
      <c r="C61" s="186"/>
      <c r="D61" s="201"/>
      <c r="E61" s="186"/>
      <c r="F61" s="186"/>
      <c r="G61" s="186"/>
      <c r="H61" s="202"/>
      <c r="I61" s="202"/>
      <c r="J61" s="198"/>
      <c r="K61" s="198"/>
      <c r="L61" s="203"/>
      <c r="M61" s="194">
        <f t="shared" si="33"/>
        <v>0</v>
      </c>
    </row>
    <row r="62" ht="12.75" customHeight="1">
      <c r="A62" s="197"/>
      <c r="B62" s="201"/>
      <c r="C62" s="186"/>
      <c r="D62" s="201"/>
      <c r="E62" s="186"/>
      <c r="F62" s="186"/>
      <c r="G62" s="186"/>
      <c r="H62" s="202"/>
      <c r="I62" s="202"/>
      <c r="J62" s="198"/>
      <c r="K62" s="198"/>
      <c r="L62" s="203"/>
      <c r="M62" s="194">
        <f t="shared" si="33"/>
        <v>0</v>
      </c>
    </row>
    <row r="63" ht="12.75" customHeight="1">
      <c r="A63" s="197"/>
      <c r="B63" s="201"/>
      <c r="C63" s="186"/>
      <c r="D63" s="201"/>
      <c r="E63" s="186"/>
      <c r="F63" s="186"/>
      <c r="G63" s="186"/>
      <c r="H63" s="202"/>
      <c r="I63" s="202"/>
      <c r="J63" s="198"/>
      <c r="K63" s="198"/>
      <c r="L63" s="203"/>
      <c r="M63" s="194">
        <f t="shared" si="33"/>
        <v>0</v>
      </c>
    </row>
    <row r="64" ht="12.75" customHeight="1">
      <c r="A64" s="197"/>
      <c r="B64" s="201"/>
      <c r="C64" s="186"/>
      <c r="D64" s="201"/>
      <c r="E64" s="186"/>
      <c r="F64" s="186"/>
      <c r="G64" s="186"/>
      <c r="H64" s="202"/>
      <c r="I64" s="202"/>
      <c r="J64" s="198"/>
      <c r="K64" s="198"/>
      <c r="L64" s="203"/>
      <c r="M64" s="194">
        <f t="shared" si="33"/>
        <v>0</v>
      </c>
    </row>
    <row r="65" ht="12.75" customHeight="1">
      <c r="A65" s="197"/>
      <c r="B65" s="201"/>
      <c r="C65" s="186"/>
      <c r="D65" s="201"/>
      <c r="E65" s="186"/>
      <c r="F65" s="186"/>
      <c r="G65" s="186"/>
      <c r="H65" s="202"/>
      <c r="I65" s="202"/>
      <c r="J65" s="198"/>
      <c r="K65" s="198"/>
      <c r="L65" s="203"/>
      <c r="M65" s="194">
        <f t="shared" si="33"/>
        <v>0</v>
      </c>
    </row>
    <row r="66" ht="12.75" customHeight="1">
      <c r="A66" s="197"/>
      <c r="B66" s="201"/>
      <c r="C66" s="186"/>
      <c r="D66" s="201"/>
      <c r="E66" s="186"/>
      <c r="F66" s="186"/>
      <c r="G66" s="186"/>
      <c r="H66" s="202"/>
      <c r="I66" s="202"/>
      <c r="J66" s="198"/>
      <c r="K66" s="198"/>
      <c r="L66" s="203"/>
      <c r="M66" s="194">
        <f t="shared" si="33"/>
        <v>0</v>
      </c>
    </row>
    <row r="67" ht="12.75" customHeight="1">
      <c r="A67" s="197"/>
      <c r="B67" s="201"/>
      <c r="C67" s="186"/>
      <c r="D67" s="201"/>
      <c r="E67" s="186"/>
      <c r="F67" s="186"/>
      <c r="G67" s="186"/>
      <c r="H67" s="202"/>
      <c r="I67" s="202"/>
      <c r="J67" s="198"/>
      <c r="K67" s="198"/>
      <c r="L67" s="203"/>
      <c r="M67" s="194">
        <f t="shared" si="33"/>
        <v>0</v>
      </c>
    </row>
    <row r="68" ht="12.75" customHeight="1">
      <c r="A68" s="197"/>
      <c r="B68" s="201"/>
      <c r="C68" s="186"/>
      <c r="D68" s="201"/>
      <c r="E68" s="186"/>
      <c r="F68" s="186"/>
      <c r="G68" s="186"/>
      <c r="H68" s="202"/>
      <c r="I68" s="202"/>
      <c r="J68" s="198"/>
      <c r="K68" s="198"/>
      <c r="L68" s="203"/>
      <c r="M68" s="194">
        <f t="shared" si="33"/>
        <v>0</v>
      </c>
    </row>
    <row r="69" ht="12.75" customHeight="1">
      <c r="A69" s="197"/>
      <c r="B69" s="201"/>
      <c r="C69" s="186"/>
      <c r="D69" s="201"/>
      <c r="E69" s="186"/>
      <c r="F69" s="186"/>
      <c r="G69" s="186"/>
      <c r="H69" s="202"/>
      <c r="I69" s="202"/>
      <c r="J69" s="198"/>
      <c r="K69" s="198"/>
      <c r="L69" s="203"/>
      <c r="M69" s="194">
        <f t="shared" si="33"/>
        <v>0</v>
      </c>
    </row>
    <row r="70" ht="12.75" customHeight="1">
      <c r="A70" s="197"/>
      <c r="B70" s="201"/>
      <c r="C70" s="186"/>
      <c r="D70" s="201"/>
      <c r="E70" s="186"/>
      <c r="F70" s="186"/>
      <c r="G70" s="186"/>
      <c r="H70" s="202"/>
      <c r="I70" s="202"/>
      <c r="J70" s="198"/>
      <c r="K70" s="198"/>
      <c r="L70" s="203"/>
      <c r="M70" s="194">
        <f t="shared" si="33"/>
        <v>0</v>
      </c>
    </row>
    <row r="71" ht="12.75" customHeight="1">
      <c r="A71" s="197"/>
      <c r="B71" s="201"/>
      <c r="C71" s="186"/>
      <c r="D71" s="201"/>
      <c r="E71" s="186"/>
      <c r="F71" s="186"/>
      <c r="G71" s="186"/>
      <c r="H71" s="202"/>
      <c r="I71" s="202"/>
      <c r="J71" s="198"/>
      <c r="K71" s="198"/>
      <c r="L71" s="203"/>
      <c r="M71" s="194">
        <f t="shared" si="33"/>
        <v>0</v>
      </c>
    </row>
    <row r="72" ht="12.75" customHeight="1">
      <c r="A72" s="197"/>
      <c r="B72" s="201"/>
      <c r="C72" s="186"/>
      <c r="D72" s="201"/>
      <c r="E72" s="186"/>
      <c r="F72" s="186"/>
      <c r="G72" s="186"/>
      <c r="H72" s="202"/>
      <c r="I72" s="202"/>
      <c r="J72" s="198"/>
      <c r="K72" s="198"/>
      <c r="L72" s="203"/>
      <c r="M72" s="194">
        <f t="shared" si="33"/>
        <v>0</v>
      </c>
    </row>
    <row r="73" ht="12.75" customHeight="1">
      <c r="A73" s="197"/>
      <c r="B73" s="201"/>
      <c r="C73" s="186"/>
      <c r="D73" s="201"/>
      <c r="E73" s="186"/>
      <c r="F73" s="186"/>
      <c r="G73" s="186"/>
      <c r="H73" s="202"/>
      <c r="I73" s="202"/>
      <c r="J73" s="198"/>
      <c r="K73" s="198"/>
      <c r="L73" s="203"/>
      <c r="M73" s="194">
        <f t="shared" si="33"/>
        <v>0</v>
      </c>
    </row>
    <row r="74" ht="12.75" customHeight="1">
      <c r="C74" s="24" t="s">
        <v>285</v>
      </c>
      <c r="M74" s="194">
        <f>SUM(M60:M73)</f>
        <v>0</v>
      </c>
    </row>
    <row r="75" ht="12.75" customHeight="1">
      <c r="A75" s="195"/>
      <c r="B75" s="195"/>
      <c r="C75" s="195"/>
      <c r="D75" s="195"/>
      <c r="E75" s="195"/>
      <c r="F75" s="195"/>
      <c r="G75" s="195"/>
      <c r="H75" s="195"/>
      <c r="I75" s="195"/>
      <c r="J75" s="195"/>
      <c r="K75" s="195"/>
      <c r="L75" s="195"/>
      <c r="M75" s="195"/>
    </row>
    <row r="76" ht="12.75" customHeight="1">
      <c r="A76" s="1" t="s">
        <v>286</v>
      </c>
    </row>
    <row r="77" ht="12.75" customHeight="1"/>
    <row r="78" ht="12.75" customHeight="1">
      <c r="A78" s="2" t="s">
        <v>282</v>
      </c>
      <c r="H78" s="24" t="s">
        <v>280</v>
      </c>
      <c r="L78" s="24" t="s">
        <v>281</v>
      </c>
    </row>
    <row r="79" ht="12.75" customHeight="1">
      <c r="A79" s="2" t="s">
        <v>287</v>
      </c>
      <c r="B79" s="24" t="s">
        <v>256</v>
      </c>
      <c r="D79" s="24" t="s">
        <v>288</v>
      </c>
      <c r="H79" s="24" t="s">
        <v>80</v>
      </c>
      <c r="I79" s="24" t="s">
        <v>81</v>
      </c>
      <c r="L79" s="24" t="s">
        <v>289</v>
      </c>
      <c r="M79" s="24" t="s">
        <v>84</v>
      </c>
    </row>
    <row r="80" ht="12.75" customHeight="1">
      <c r="A80" s="197"/>
      <c r="B80" s="201"/>
      <c r="C80" s="186"/>
      <c r="D80" s="201"/>
      <c r="E80" s="186"/>
      <c r="F80" s="186"/>
      <c r="G80" s="186"/>
      <c r="H80" s="202"/>
      <c r="I80" s="202"/>
      <c r="J80" s="198"/>
      <c r="K80" s="198"/>
      <c r="L80" s="203"/>
      <c r="M80" s="194">
        <f t="shared" ref="M80:M94" si="34">+A80*L80</f>
        <v>0</v>
      </c>
    </row>
    <row r="81" ht="12.75" customHeight="1">
      <c r="A81" s="197"/>
      <c r="B81" s="201"/>
      <c r="C81" s="186"/>
      <c r="D81" s="201"/>
      <c r="E81" s="186"/>
      <c r="F81" s="186"/>
      <c r="G81" s="186"/>
      <c r="H81" s="202"/>
      <c r="I81" s="202"/>
      <c r="J81" s="198"/>
      <c r="K81" s="198"/>
      <c r="L81" s="203"/>
      <c r="M81" s="194">
        <f t="shared" si="34"/>
        <v>0</v>
      </c>
    </row>
    <row r="82" ht="12.75" customHeight="1">
      <c r="A82" s="197"/>
      <c r="B82" s="201"/>
      <c r="C82" s="186"/>
      <c r="D82" s="201"/>
      <c r="E82" s="186"/>
      <c r="F82" s="186"/>
      <c r="G82" s="186"/>
      <c r="H82" s="202"/>
      <c r="I82" s="202"/>
      <c r="J82" s="198"/>
      <c r="K82" s="198"/>
      <c r="L82" s="203"/>
      <c r="M82" s="194">
        <f t="shared" si="34"/>
        <v>0</v>
      </c>
    </row>
    <row r="83" ht="12.75" customHeight="1">
      <c r="A83" s="197"/>
      <c r="B83" s="201"/>
      <c r="C83" s="186"/>
      <c r="D83" s="201"/>
      <c r="E83" s="186"/>
      <c r="F83" s="186"/>
      <c r="G83" s="186"/>
      <c r="H83" s="202"/>
      <c r="I83" s="202"/>
      <c r="J83" s="198"/>
      <c r="K83" s="198"/>
      <c r="L83" s="203"/>
      <c r="M83" s="194">
        <f t="shared" si="34"/>
        <v>0</v>
      </c>
    </row>
    <row r="84" ht="12.75" customHeight="1">
      <c r="A84" s="197"/>
      <c r="B84" s="201"/>
      <c r="C84" s="186"/>
      <c r="D84" s="201"/>
      <c r="E84" s="186"/>
      <c r="F84" s="186"/>
      <c r="G84" s="186"/>
      <c r="H84" s="202"/>
      <c r="I84" s="202"/>
      <c r="J84" s="198"/>
      <c r="K84" s="198"/>
      <c r="L84" s="203"/>
      <c r="M84" s="194">
        <f t="shared" si="34"/>
        <v>0</v>
      </c>
    </row>
    <row r="85" ht="12.75" customHeight="1">
      <c r="A85" s="197"/>
      <c r="B85" s="201"/>
      <c r="C85" s="186"/>
      <c r="D85" s="201"/>
      <c r="E85" s="186"/>
      <c r="F85" s="186"/>
      <c r="G85" s="186"/>
      <c r="H85" s="202"/>
      <c r="I85" s="202"/>
      <c r="J85" s="198"/>
      <c r="K85" s="198"/>
      <c r="L85" s="203"/>
      <c r="M85" s="194">
        <f t="shared" si="34"/>
        <v>0</v>
      </c>
    </row>
    <row r="86" ht="12.75" customHeight="1">
      <c r="A86" s="197"/>
      <c r="B86" s="201"/>
      <c r="C86" s="186"/>
      <c r="D86" s="201"/>
      <c r="E86" s="186"/>
      <c r="F86" s="186"/>
      <c r="G86" s="186"/>
      <c r="H86" s="202"/>
      <c r="I86" s="202"/>
      <c r="J86" s="198"/>
      <c r="K86" s="198"/>
      <c r="L86" s="203"/>
      <c r="M86" s="194">
        <f t="shared" si="34"/>
        <v>0</v>
      </c>
    </row>
    <row r="87" ht="12.75" customHeight="1">
      <c r="A87" s="197"/>
      <c r="B87" s="201"/>
      <c r="C87" s="186"/>
      <c r="D87" s="201"/>
      <c r="E87" s="186"/>
      <c r="F87" s="186"/>
      <c r="G87" s="186"/>
      <c r="H87" s="202"/>
      <c r="I87" s="202"/>
      <c r="J87" s="198"/>
      <c r="K87" s="198"/>
      <c r="L87" s="203"/>
      <c r="M87" s="194">
        <f t="shared" si="34"/>
        <v>0</v>
      </c>
    </row>
    <row r="88" ht="12.75" customHeight="1">
      <c r="A88" s="197"/>
      <c r="B88" s="201"/>
      <c r="C88" s="186"/>
      <c r="D88" s="201"/>
      <c r="E88" s="186"/>
      <c r="F88" s="186"/>
      <c r="G88" s="186"/>
      <c r="H88" s="202"/>
      <c r="I88" s="202"/>
      <c r="J88" s="198"/>
      <c r="K88" s="198"/>
      <c r="L88" s="203"/>
      <c r="M88" s="194">
        <f t="shared" si="34"/>
        <v>0</v>
      </c>
    </row>
    <row r="89" ht="12.75" customHeight="1">
      <c r="A89" s="197"/>
      <c r="B89" s="201"/>
      <c r="C89" s="186"/>
      <c r="D89" s="201"/>
      <c r="E89" s="186"/>
      <c r="F89" s="186"/>
      <c r="G89" s="186"/>
      <c r="H89" s="202"/>
      <c r="I89" s="202"/>
      <c r="J89" s="198"/>
      <c r="K89" s="198"/>
      <c r="L89" s="203"/>
      <c r="M89" s="194">
        <f t="shared" si="34"/>
        <v>0</v>
      </c>
    </row>
    <row r="90" ht="12.75" customHeight="1">
      <c r="A90" s="197"/>
      <c r="B90" s="201"/>
      <c r="C90" s="186"/>
      <c r="D90" s="201"/>
      <c r="E90" s="186"/>
      <c r="F90" s="186"/>
      <c r="G90" s="186"/>
      <c r="H90" s="202"/>
      <c r="I90" s="202"/>
      <c r="J90" s="198"/>
      <c r="K90" s="198"/>
      <c r="L90" s="203"/>
      <c r="M90" s="194">
        <f t="shared" si="34"/>
        <v>0</v>
      </c>
    </row>
    <row r="91" ht="12.75" customHeight="1">
      <c r="A91" s="197"/>
      <c r="B91" s="201"/>
      <c r="C91" s="186"/>
      <c r="D91" s="201"/>
      <c r="E91" s="186"/>
      <c r="F91" s="186"/>
      <c r="G91" s="186"/>
      <c r="H91" s="202"/>
      <c r="I91" s="202"/>
      <c r="J91" s="198"/>
      <c r="K91" s="198"/>
      <c r="L91" s="203"/>
      <c r="M91" s="194">
        <f t="shared" si="34"/>
        <v>0</v>
      </c>
    </row>
    <row r="92" ht="12.75" customHeight="1">
      <c r="A92" s="197"/>
      <c r="B92" s="201"/>
      <c r="C92" s="186"/>
      <c r="D92" s="201"/>
      <c r="E92" s="186"/>
      <c r="F92" s="186"/>
      <c r="G92" s="186"/>
      <c r="H92" s="202"/>
      <c r="I92" s="202"/>
      <c r="J92" s="198"/>
      <c r="K92" s="198"/>
      <c r="L92" s="203"/>
      <c r="M92" s="194">
        <f t="shared" si="34"/>
        <v>0</v>
      </c>
    </row>
    <row r="93" ht="12.75" customHeight="1">
      <c r="A93" s="197"/>
      <c r="B93" s="201"/>
      <c r="C93" s="186"/>
      <c r="D93" s="201"/>
      <c r="E93" s="186"/>
      <c r="F93" s="186"/>
      <c r="G93" s="186"/>
      <c r="H93" s="202"/>
      <c r="I93" s="202"/>
      <c r="J93" s="198"/>
      <c r="K93" s="198"/>
      <c r="L93" s="203"/>
      <c r="M93" s="194">
        <f t="shared" si="34"/>
        <v>0</v>
      </c>
    </row>
    <row r="94" ht="12.75" customHeight="1">
      <c r="A94" s="197"/>
      <c r="B94" s="201"/>
      <c r="C94" s="186"/>
      <c r="D94" s="201"/>
      <c r="E94" s="186"/>
      <c r="F94" s="186"/>
      <c r="G94" s="186"/>
      <c r="H94" s="202"/>
      <c r="I94" s="202"/>
      <c r="J94" s="198"/>
      <c r="K94" s="198"/>
      <c r="L94" s="203"/>
      <c r="M94" s="194">
        <f t="shared" si="34"/>
        <v>0</v>
      </c>
    </row>
    <row r="95" ht="12.75" customHeight="1">
      <c r="C95" s="24" t="s">
        <v>290</v>
      </c>
      <c r="L95" s="194"/>
      <c r="M95" s="194">
        <f>SUM(M80:M94)</f>
        <v>0</v>
      </c>
    </row>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01">
    <mergeCell ref="B59:C59"/>
    <mergeCell ref="B60:C60"/>
    <mergeCell ref="D60:G60"/>
    <mergeCell ref="B61:C61"/>
    <mergeCell ref="D61:G61"/>
    <mergeCell ref="B62:C62"/>
    <mergeCell ref="D62:G62"/>
    <mergeCell ref="B63:C63"/>
    <mergeCell ref="D63:G63"/>
    <mergeCell ref="B64:C64"/>
    <mergeCell ref="D64:G64"/>
    <mergeCell ref="B65:C65"/>
    <mergeCell ref="D65:G65"/>
    <mergeCell ref="D66:G66"/>
    <mergeCell ref="B66:C66"/>
    <mergeCell ref="B67:C67"/>
    <mergeCell ref="B68:C68"/>
    <mergeCell ref="B69:C69"/>
    <mergeCell ref="B70:C70"/>
    <mergeCell ref="B71:C71"/>
    <mergeCell ref="B72:C72"/>
    <mergeCell ref="B73:C73"/>
    <mergeCell ref="B79:C79"/>
    <mergeCell ref="B80:C80"/>
    <mergeCell ref="B81:C81"/>
    <mergeCell ref="B82:C82"/>
    <mergeCell ref="B83:C83"/>
    <mergeCell ref="B84:C84"/>
    <mergeCell ref="B92:C92"/>
    <mergeCell ref="B93:C93"/>
    <mergeCell ref="B94:C94"/>
    <mergeCell ref="B85:C85"/>
    <mergeCell ref="B86:C86"/>
    <mergeCell ref="B87:C87"/>
    <mergeCell ref="B88:C88"/>
    <mergeCell ref="B89:C89"/>
    <mergeCell ref="B90:C90"/>
    <mergeCell ref="B91:C91"/>
    <mergeCell ref="D89:G89"/>
    <mergeCell ref="D90:G90"/>
    <mergeCell ref="D91:G91"/>
    <mergeCell ref="D92:G92"/>
    <mergeCell ref="D93:G93"/>
    <mergeCell ref="D94:G94"/>
    <mergeCell ref="C95:H95"/>
    <mergeCell ref="D82:G82"/>
    <mergeCell ref="D83:G83"/>
    <mergeCell ref="D84:G84"/>
    <mergeCell ref="D85:G85"/>
    <mergeCell ref="D86:G86"/>
    <mergeCell ref="D87:G87"/>
    <mergeCell ref="D88:G88"/>
    <mergeCell ref="A6:M6"/>
    <mergeCell ref="A8:M8"/>
    <mergeCell ref="F11:M11"/>
    <mergeCell ref="F13:H13"/>
    <mergeCell ref="A18:M18"/>
    <mergeCell ref="A19:M19"/>
    <mergeCell ref="L21:M21"/>
    <mergeCell ref="F21:G21"/>
    <mergeCell ref="B22:C22"/>
    <mergeCell ref="B23:C23"/>
    <mergeCell ref="B24:C24"/>
    <mergeCell ref="B25:C25"/>
    <mergeCell ref="B26:C26"/>
    <mergeCell ref="B27:C27"/>
    <mergeCell ref="F29:G29"/>
    <mergeCell ref="L29:M29"/>
    <mergeCell ref="A40:M40"/>
    <mergeCell ref="C42:G42"/>
    <mergeCell ref="L42:M42"/>
    <mergeCell ref="L43:M43"/>
    <mergeCell ref="L44:M44"/>
    <mergeCell ref="L45:M45"/>
    <mergeCell ref="L46:M46"/>
    <mergeCell ref="L47:M47"/>
    <mergeCell ref="L48:M48"/>
    <mergeCell ref="L49:M49"/>
    <mergeCell ref="L50:M50"/>
    <mergeCell ref="L51:M51"/>
    <mergeCell ref="L52:M52"/>
    <mergeCell ref="C53:H53"/>
    <mergeCell ref="L53:M53"/>
    <mergeCell ref="A55:M55"/>
    <mergeCell ref="A56:M56"/>
    <mergeCell ref="H58:I58"/>
    <mergeCell ref="L58:M58"/>
    <mergeCell ref="D67:G67"/>
    <mergeCell ref="D68:G68"/>
    <mergeCell ref="D69:G69"/>
    <mergeCell ref="D70:G70"/>
    <mergeCell ref="D71:G71"/>
    <mergeCell ref="D72:G72"/>
    <mergeCell ref="D73:G73"/>
    <mergeCell ref="C74:H74"/>
    <mergeCell ref="A76:M76"/>
    <mergeCell ref="H78:I78"/>
    <mergeCell ref="L78:M78"/>
    <mergeCell ref="D79:G79"/>
    <mergeCell ref="D80:G80"/>
    <mergeCell ref="D81:G81"/>
  </mergeCells>
  <printOptions/>
  <pageMargins bottom="1.025" footer="0.0" header="0.0" left="0.7875" right="0.7875" top="1.025"/>
  <pageSetup scale="0" orientation="portrait"/>
  <headerFooter>
    <oddHeader>&amp;C&amp;A</oddHeader>
    <oddFooter>&amp;CPage &amp;P</oddFooter>
  </headerFooter>
  <drawing r:id="rId2"/>
  <legacyDrawing r:id="rId3"/>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0.63"/>
  </cols>
  <sheetData>
    <row r="1" ht="12.75" customHeight="1">
      <c r="A1" s="2" t="s">
        <v>291</v>
      </c>
      <c r="B1" s="2" t="s">
        <v>292</v>
      </c>
      <c r="C1" s="2" t="s">
        <v>293</v>
      </c>
      <c r="D1" s="2" t="s">
        <v>294</v>
      </c>
      <c r="E1" s="2" t="s">
        <v>295</v>
      </c>
      <c r="F1" s="2" t="s">
        <v>296</v>
      </c>
      <c r="G1" s="2">
        <v>321.0</v>
      </c>
    </row>
    <row r="2" ht="12.75" customHeight="1">
      <c r="A2" s="2" t="s">
        <v>297</v>
      </c>
      <c r="B2" s="2">
        <v>909.0</v>
      </c>
      <c r="C2" s="2">
        <v>260.0</v>
      </c>
      <c r="D2" s="2">
        <v>120.0</v>
      </c>
      <c r="E2" s="2">
        <v>127.0</v>
      </c>
      <c r="F2" s="2">
        <v>150.0</v>
      </c>
      <c r="G2" s="2">
        <v>322.0</v>
      </c>
    </row>
    <row r="3" ht="12.75" customHeight="1">
      <c r="A3" s="2" t="s">
        <v>34</v>
      </c>
      <c r="B3" s="2">
        <v>972.0</v>
      </c>
      <c r="C3" s="2">
        <v>260.0</v>
      </c>
      <c r="D3" s="2">
        <v>120.0</v>
      </c>
      <c r="E3" s="2">
        <v>127.0</v>
      </c>
      <c r="F3" s="2">
        <v>150.0</v>
      </c>
      <c r="G3" s="2">
        <v>323.0</v>
      </c>
    </row>
    <row r="4" ht="12.75" customHeight="1">
      <c r="A4" s="2" t="s">
        <v>24</v>
      </c>
      <c r="B4" s="2">
        <v>1461.0</v>
      </c>
      <c r="C4" s="2">
        <v>300.0</v>
      </c>
      <c r="D4" s="2">
        <v>128.0</v>
      </c>
      <c r="E4" s="2">
        <v>165.0</v>
      </c>
      <c r="F4" s="2">
        <v>195.0</v>
      </c>
      <c r="G4" s="2">
        <v>324.0</v>
      </c>
    </row>
    <row r="5" ht="12.75" customHeight="1">
      <c r="A5" s="2" t="s">
        <v>27</v>
      </c>
      <c r="B5" s="2">
        <v>1607.0</v>
      </c>
      <c r="C5" s="2">
        <v>300.0</v>
      </c>
      <c r="D5" s="2">
        <v>128.0</v>
      </c>
      <c r="E5" s="2">
        <v>165.0</v>
      </c>
      <c r="F5" s="2">
        <v>195.0</v>
      </c>
      <c r="G5" s="2">
        <v>325.0</v>
      </c>
    </row>
    <row r="6" ht="12.75" customHeight="1">
      <c r="A6" s="2" t="s">
        <v>31</v>
      </c>
      <c r="B6" s="2">
        <v>1768.0</v>
      </c>
      <c r="C6" s="2">
        <v>300.0</v>
      </c>
      <c r="D6" s="2">
        <v>128.0</v>
      </c>
      <c r="E6" s="2">
        <v>165.0</v>
      </c>
      <c r="F6" s="2">
        <v>195.0</v>
      </c>
      <c r="G6" s="2">
        <v>326.0</v>
      </c>
    </row>
    <row r="7" ht="12.75" customHeight="1">
      <c r="A7" s="2" t="s">
        <v>37</v>
      </c>
      <c r="B7" s="2">
        <v>1945.0</v>
      </c>
      <c r="C7" s="2">
        <v>300.0</v>
      </c>
      <c r="D7" s="2">
        <v>128.0</v>
      </c>
      <c r="E7" s="2">
        <v>165.0</v>
      </c>
      <c r="F7" s="2">
        <v>195.0</v>
      </c>
      <c r="G7" s="2">
        <v>327.0</v>
      </c>
    </row>
    <row r="8" ht="12.75" customHeight="1">
      <c r="A8" s="2" t="s">
        <v>89</v>
      </c>
      <c r="B8" s="2">
        <v>2140.0</v>
      </c>
      <c r="C8" s="2">
        <v>300.0</v>
      </c>
      <c r="D8" s="2">
        <v>128.0</v>
      </c>
      <c r="E8" s="2">
        <v>165.0</v>
      </c>
      <c r="F8" s="2">
        <v>195.0</v>
      </c>
      <c r="G8" s="2">
        <v>328.0</v>
      </c>
    </row>
    <row r="9" ht="12.75" customHeight="1">
      <c r="A9" s="2" t="s">
        <v>298</v>
      </c>
      <c r="B9" s="2">
        <v>2354.0</v>
      </c>
      <c r="C9" s="2">
        <v>300.0</v>
      </c>
      <c r="D9" s="2">
        <v>128.0</v>
      </c>
      <c r="E9" s="2">
        <v>165.0</v>
      </c>
      <c r="F9" s="2">
        <v>195.0</v>
      </c>
      <c r="G9" s="2">
        <v>329.0</v>
      </c>
    </row>
    <row r="10" ht="12.75" customHeight="1">
      <c r="A10" s="2" t="s">
        <v>299</v>
      </c>
      <c r="B10" s="2">
        <v>2589.0</v>
      </c>
      <c r="C10" s="2">
        <v>300.0</v>
      </c>
      <c r="D10" s="2">
        <v>128.0</v>
      </c>
      <c r="E10" s="2">
        <v>165.0</v>
      </c>
      <c r="F10" s="2">
        <v>195.0</v>
      </c>
    </row>
    <row r="11" ht="12.75" customHeight="1">
      <c r="A11" s="2" t="s">
        <v>300</v>
      </c>
      <c r="B11" s="2">
        <v>2849.0</v>
      </c>
      <c r="C11" s="2">
        <v>300.0</v>
      </c>
      <c r="D11" s="2">
        <v>128.0</v>
      </c>
      <c r="E11" s="2">
        <v>165.0</v>
      </c>
      <c r="F11" s="2">
        <v>195.0</v>
      </c>
    </row>
    <row r="12" ht="12.75" customHeight="1">
      <c r="A12" s="2" t="s">
        <v>301</v>
      </c>
      <c r="B12" s="2">
        <v>3133.0</v>
      </c>
      <c r="C12" s="2">
        <v>300.0</v>
      </c>
      <c r="D12" s="2">
        <v>128.0</v>
      </c>
      <c r="E12" s="2">
        <v>165.0</v>
      </c>
      <c r="F12" s="2">
        <v>195.0</v>
      </c>
    </row>
    <row r="13" ht="12.75" customHeight="1">
      <c r="A13" s="2" t="s">
        <v>42</v>
      </c>
      <c r="B13" s="2">
        <v>3446.0</v>
      </c>
      <c r="C13" s="2">
        <v>300.0</v>
      </c>
      <c r="D13" s="2">
        <v>128.0</v>
      </c>
      <c r="E13" s="2">
        <v>165.0</v>
      </c>
      <c r="F13" s="2">
        <v>195.0</v>
      </c>
    </row>
    <row r="14" ht="12.75" customHeight="1">
      <c r="A14" s="2" t="s">
        <v>302</v>
      </c>
      <c r="B14" s="2">
        <v>3791.0</v>
      </c>
      <c r="C14" s="2">
        <v>300.0</v>
      </c>
      <c r="D14" s="2">
        <v>128.0</v>
      </c>
      <c r="E14" s="2">
        <v>165.0</v>
      </c>
      <c r="F14" s="2">
        <v>195.0</v>
      </c>
    </row>
    <row r="15" ht="12.75" customHeight="1">
      <c r="A15" s="2" t="s">
        <v>303</v>
      </c>
      <c r="B15" s="2">
        <v>4170.0</v>
      </c>
      <c r="C15" s="2">
        <v>300.0</v>
      </c>
      <c r="D15" s="2">
        <v>128.0</v>
      </c>
      <c r="E15" s="2">
        <v>165.0</v>
      </c>
      <c r="F15" s="2">
        <v>195.0</v>
      </c>
    </row>
    <row r="16" ht="12.75" customHeight="1"/>
    <row r="17" ht="12.75" customHeight="1">
      <c r="D17" s="2">
        <v>7.8</v>
      </c>
    </row>
    <row r="18" ht="12.75" customHeight="1">
      <c r="A18" s="2" t="s">
        <v>304</v>
      </c>
      <c r="B18" s="2">
        <f t="shared" ref="B18:D18" si="1">D2*$D$17</f>
        <v>936</v>
      </c>
      <c r="C18" s="2">
        <f t="shared" si="1"/>
        <v>990.6</v>
      </c>
      <c r="D18" s="2">
        <f t="shared" si="1"/>
        <v>1170</v>
      </c>
    </row>
    <row r="19" ht="12.75" customHeight="1">
      <c r="B19" s="2">
        <f t="shared" ref="B19:D19" si="2">D9*$D$17</f>
        <v>998.4</v>
      </c>
      <c r="C19" s="2">
        <f t="shared" si="2"/>
        <v>1287</v>
      </c>
      <c r="D19" s="2">
        <f t="shared" si="2"/>
        <v>1521</v>
      </c>
    </row>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2004-09-04T01:30:09Z</dcterms:created>
  <dc:creator>User</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